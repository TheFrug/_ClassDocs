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OneDrive\Documents\_ClassDocs\_ClassDocs_Spring2026\Kaiju Clash\"/>
    </mc:Choice>
  </mc:AlternateContent>
  <xr:revisionPtr revIDLastSave="0" documentId="13_ncr:1_{6A6CE075-DC92-4D0B-8AA7-96E0438F1E90}" xr6:coauthVersionLast="47" xr6:coauthVersionMax="47" xr10:uidLastSave="{00000000-0000-0000-0000-000000000000}"/>
  <bookViews>
    <workbookView xWindow="-110" yWindow="-110" windowWidth="25820" windowHeight="16220" activeTab="2" xr2:uid="{280F9E53-3EC3-488B-8F2B-E95A85DA6E5C}"/>
  </bookViews>
  <sheets>
    <sheet name="HunterDPS" sheetId="1" r:id="rId1"/>
    <sheet name="KaijuSim" sheetId="2" r:id="rId2"/>
    <sheet name="MatchResul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D17" i="3" s="1"/>
  <c r="C18" i="3"/>
  <c r="D18" i="3" s="1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E34" i="3" s="1"/>
  <c r="C35" i="3"/>
  <c r="C36" i="3"/>
  <c r="C37" i="3"/>
  <c r="C38" i="3"/>
  <c r="E38" i="3" s="1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E54" i="3" s="1"/>
  <c r="C55" i="3"/>
  <c r="C56" i="3"/>
  <c r="C57" i="3"/>
  <c r="D57" i="3" s="1"/>
  <c r="C58" i="3"/>
  <c r="D58" i="3" s="1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E74" i="3" s="1"/>
  <c r="C75" i="3"/>
  <c r="C76" i="3"/>
  <c r="C77" i="3"/>
  <c r="E77" i="3" s="1"/>
  <c r="C78" i="3"/>
  <c r="E78" i="3" s="1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E94" i="3" s="1"/>
  <c r="C95" i="3"/>
  <c r="C96" i="3"/>
  <c r="C97" i="3"/>
  <c r="D97" i="3" s="1"/>
  <c r="C98" i="3"/>
  <c r="D98" i="3" s="1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E114" i="3" s="1"/>
  <c r="C115" i="3"/>
  <c r="C116" i="3"/>
  <c r="C117" i="3"/>
  <c r="D117" i="3" s="1"/>
  <c r="C118" i="3"/>
  <c r="D118" i="3" s="1"/>
  <c r="C119" i="3"/>
  <c r="C120" i="3"/>
  <c r="E120" i="3" s="1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E134" i="3" s="1"/>
  <c r="C135" i="3"/>
  <c r="C136" i="3"/>
  <c r="C137" i="3"/>
  <c r="E137" i="3" s="1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E154" i="3" s="1"/>
  <c r="C155" i="3"/>
  <c r="C156" i="3"/>
  <c r="C157" i="3"/>
  <c r="D157" i="3" s="1"/>
  <c r="C158" i="3"/>
  <c r="D158" i="3" s="1"/>
  <c r="C159" i="3"/>
  <c r="C160" i="3"/>
  <c r="E160" i="3" s="1"/>
  <c r="C161" i="3"/>
  <c r="E161" i="3" s="1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E174" i="3" s="1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E194" i="3" s="1"/>
  <c r="C195" i="3"/>
  <c r="C196" i="3"/>
  <c r="E196" i="3" s="1"/>
  <c r="C197" i="3"/>
  <c r="C198" i="3"/>
  <c r="E198" i="3" s="1"/>
  <c r="C199" i="3"/>
  <c r="C200" i="3"/>
  <c r="C20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C2" i="3"/>
  <c r="B2" i="3"/>
  <c r="A200" i="3"/>
  <c r="A201" i="3"/>
  <c r="A4" i="3"/>
  <c r="A5" i="3"/>
  <c r="A6" i="3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/>
  <c r="A18" i="3"/>
  <c r="A19" i="3"/>
  <c r="A20" i="3"/>
  <c r="A21" i="3"/>
  <c r="A22" i="3"/>
  <c r="A23" i="3"/>
  <c r="A24" i="3" s="1"/>
  <c r="A25" i="3" s="1"/>
  <c r="A26" i="3" s="1"/>
  <c r="A27" i="3"/>
  <c r="A28" i="3" s="1"/>
  <c r="A29" i="3" s="1"/>
  <c r="A30" i="3" s="1"/>
  <c r="A31" i="3" s="1"/>
  <c r="A32" i="3" s="1"/>
  <c r="A33" i="3" s="1"/>
  <c r="A34" i="3" s="1"/>
  <c r="A35" i="3" s="1"/>
  <c r="A36" i="3" s="1"/>
  <c r="A37" i="3"/>
  <c r="A38" i="3"/>
  <c r="A39" i="3"/>
  <c r="A40" i="3"/>
  <c r="A41" i="3"/>
  <c r="A42" i="3"/>
  <c r="A43" i="3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3" i="3"/>
  <c r="A2" i="3"/>
  <c r="O3" i="1"/>
  <c r="N3" i="1"/>
  <c r="M3" i="1"/>
  <c r="E2" i="1"/>
  <c r="E14" i="3" l="1"/>
  <c r="D166" i="3"/>
  <c r="D146" i="3"/>
  <c r="D106" i="3"/>
  <c r="D66" i="3"/>
  <c r="D46" i="3"/>
  <c r="E173" i="3"/>
  <c r="E133" i="3"/>
  <c r="E113" i="3"/>
  <c r="E73" i="3"/>
  <c r="E33" i="3"/>
  <c r="E13" i="3"/>
  <c r="D6" i="3"/>
  <c r="D165" i="3"/>
  <c r="D145" i="3"/>
  <c r="D105" i="3"/>
  <c r="D65" i="3"/>
  <c r="D45" i="3"/>
  <c r="D5" i="3"/>
  <c r="K2" i="3"/>
  <c r="J2" i="3"/>
  <c r="D189" i="3"/>
  <c r="D169" i="3"/>
  <c r="D149" i="3"/>
  <c r="D129" i="3"/>
  <c r="D109" i="3"/>
  <c r="D89" i="3"/>
  <c r="D69" i="3"/>
  <c r="D49" i="3"/>
  <c r="D29" i="3"/>
  <c r="D9" i="3"/>
  <c r="E182" i="3"/>
  <c r="D162" i="3"/>
  <c r="E142" i="3"/>
  <c r="E122" i="3"/>
  <c r="D102" i="3"/>
  <c r="E82" i="3"/>
  <c r="E22" i="3"/>
  <c r="D190" i="3"/>
  <c r="D170" i="3"/>
  <c r="D150" i="3"/>
  <c r="D130" i="3"/>
  <c r="D110" i="3"/>
  <c r="D90" i="3"/>
  <c r="D70" i="3"/>
  <c r="D50" i="3"/>
  <c r="D30" i="3"/>
  <c r="D10" i="3"/>
  <c r="E197" i="3"/>
  <c r="E195" i="3"/>
  <c r="D182" i="3"/>
  <c r="D142" i="3"/>
  <c r="D122" i="3"/>
  <c r="D82" i="3"/>
  <c r="D62" i="3"/>
  <c r="D42" i="3"/>
  <c r="D22" i="3"/>
  <c r="D156" i="3"/>
  <c r="E136" i="3"/>
  <c r="D116" i="3"/>
  <c r="D96" i="3"/>
  <c r="E76" i="3"/>
  <c r="D56" i="3"/>
  <c r="D16" i="3"/>
  <c r="E102" i="3"/>
  <c r="E162" i="3"/>
  <c r="D195" i="3"/>
  <c r="D155" i="3"/>
  <c r="E135" i="3"/>
  <c r="D115" i="3"/>
  <c r="D95" i="3"/>
  <c r="E75" i="3"/>
  <c r="D55" i="3"/>
  <c r="D15" i="3"/>
  <c r="E81" i="3"/>
  <c r="E80" i="3"/>
  <c r="E199" i="3"/>
  <c r="E159" i="3"/>
  <c r="E139" i="3"/>
  <c r="E119" i="3"/>
  <c r="E99" i="3"/>
  <c r="E79" i="3"/>
  <c r="E59" i="3"/>
  <c r="E19" i="3"/>
  <c r="D198" i="3"/>
  <c r="E178" i="3"/>
  <c r="E158" i="3"/>
  <c r="E138" i="3"/>
  <c r="E118" i="3"/>
  <c r="E98" i="3"/>
  <c r="E58" i="3"/>
  <c r="E18" i="3"/>
  <c r="D197" i="3"/>
  <c r="E177" i="3"/>
  <c r="E157" i="3"/>
  <c r="E117" i="3"/>
  <c r="E97" i="3"/>
  <c r="E57" i="3"/>
  <c r="E37" i="3"/>
  <c r="E17" i="3"/>
  <c r="D196" i="3"/>
  <c r="E176" i="3"/>
  <c r="E156" i="3"/>
  <c r="E116" i="3"/>
  <c r="E96" i="3"/>
  <c r="E56" i="3"/>
  <c r="E36" i="3"/>
  <c r="E16" i="3"/>
  <c r="E175" i="3"/>
  <c r="E155" i="3"/>
  <c r="E115" i="3"/>
  <c r="E95" i="3"/>
  <c r="E55" i="3"/>
  <c r="E35" i="3"/>
  <c r="E15" i="3"/>
  <c r="E189" i="3"/>
  <c r="E169" i="3"/>
  <c r="E149" i="3"/>
  <c r="E129" i="3"/>
  <c r="E109" i="3"/>
  <c r="E89" i="3"/>
  <c r="E69" i="3"/>
  <c r="E62" i="3"/>
  <c r="E42" i="3"/>
  <c r="E201" i="3"/>
  <c r="E181" i="3"/>
  <c r="E141" i="3"/>
  <c r="E121" i="3"/>
  <c r="E101" i="3"/>
  <c r="E61" i="3"/>
  <c r="E41" i="3"/>
  <c r="E21" i="3"/>
  <c r="E200" i="3"/>
  <c r="D120" i="3"/>
  <c r="E100" i="3"/>
  <c r="D80" i="3"/>
  <c r="E60" i="3"/>
  <c r="D40" i="3"/>
  <c r="D199" i="3"/>
  <c r="D179" i="3"/>
  <c r="D139" i="3"/>
  <c r="D119" i="3"/>
  <c r="D99" i="3"/>
  <c r="D79" i="3"/>
  <c r="D59" i="3"/>
  <c r="D39" i="3"/>
  <c r="D19" i="3"/>
  <c r="D180" i="3"/>
  <c r="E180" i="3"/>
  <c r="D140" i="3"/>
  <c r="E140" i="3"/>
  <c r="D20" i="3"/>
  <c r="E20" i="3"/>
  <c r="E40" i="3"/>
  <c r="D100" i="3"/>
  <c r="D60" i="3"/>
  <c r="E39" i="3"/>
  <c r="D159" i="3"/>
  <c r="D193" i="3"/>
  <c r="E193" i="3"/>
  <c r="D153" i="3"/>
  <c r="E153" i="3"/>
  <c r="D93" i="3"/>
  <c r="E93" i="3"/>
  <c r="D53" i="3"/>
  <c r="E53" i="3"/>
  <c r="E192" i="3"/>
  <c r="E172" i="3"/>
  <c r="E152" i="3"/>
  <c r="E132" i="3"/>
  <c r="E112" i="3"/>
  <c r="E92" i="3"/>
  <c r="E72" i="3"/>
  <c r="E52" i="3"/>
  <c r="E32" i="3"/>
  <c r="E12" i="3"/>
  <c r="E191" i="3"/>
  <c r="E171" i="3"/>
  <c r="E151" i="3"/>
  <c r="E131" i="3"/>
  <c r="E111" i="3"/>
  <c r="E91" i="3"/>
  <c r="E71" i="3"/>
  <c r="E51" i="3"/>
  <c r="E31" i="3"/>
  <c r="E11" i="3"/>
  <c r="E190" i="3"/>
  <c r="E170" i="3"/>
  <c r="E150" i="3"/>
  <c r="E130" i="3"/>
  <c r="E110" i="3"/>
  <c r="E90" i="3"/>
  <c r="E70" i="3"/>
  <c r="E50" i="3"/>
  <c r="E30" i="3"/>
  <c r="E10" i="3"/>
  <c r="E179" i="3"/>
  <c r="E49" i="3"/>
  <c r="E29" i="3"/>
  <c r="E9" i="3"/>
  <c r="E188" i="3"/>
  <c r="E168" i="3"/>
  <c r="E148" i="3"/>
  <c r="E128" i="3"/>
  <c r="E108" i="3"/>
  <c r="E88" i="3"/>
  <c r="E68" i="3"/>
  <c r="E48" i="3"/>
  <c r="E28" i="3"/>
  <c r="E8" i="3"/>
  <c r="E187" i="3"/>
  <c r="E167" i="3"/>
  <c r="E147" i="3"/>
  <c r="E127" i="3"/>
  <c r="E107" i="3"/>
  <c r="E87" i="3"/>
  <c r="E67" i="3"/>
  <c r="E47" i="3"/>
  <c r="E27" i="3"/>
  <c r="E7" i="3"/>
  <c r="E186" i="3"/>
  <c r="E166" i="3"/>
  <c r="E146" i="3"/>
  <c r="E126" i="3"/>
  <c r="E106" i="3"/>
  <c r="E86" i="3"/>
  <c r="E66" i="3"/>
  <c r="E46" i="3"/>
  <c r="E26" i="3"/>
  <c r="E6" i="3"/>
  <c r="E185" i="3"/>
  <c r="E165" i="3"/>
  <c r="E145" i="3"/>
  <c r="E125" i="3"/>
  <c r="E105" i="3"/>
  <c r="E85" i="3"/>
  <c r="E65" i="3"/>
  <c r="E45" i="3"/>
  <c r="E25" i="3"/>
  <c r="E5" i="3"/>
  <c r="E184" i="3"/>
  <c r="E164" i="3"/>
  <c r="E144" i="3"/>
  <c r="E124" i="3"/>
  <c r="E104" i="3"/>
  <c r="E84" i="3"/>
  <c r="E64" i="3"/>
  <c r="E44" i="3"/>
  <c r="E24" i="3"/>
  <c r="E4" i="3"/>
  <c r="D2" i="3"/>
  <c r="E183" i="3"/>
  <c r="E163" i="3"/>
  <c r="E143" i="3"/>
  <c r="E123" i="3"/>
  <c r="E103" i="3"/>
  <c r="E83" i="3"/>
  <c r="E63" i="3"/>
  <c r="E43" i="3"/>
  <c r="E23" i="3"/>
  <c r="E3" i="3"/>
  <c r="D176" i="3"/>
  <c r="D136" i="3"/>
  <c r="D76" i="3"/>
  <c r="D36" i="3"/>
  <c r="D126" i="3"/>
  <c r="D194" i="3"/>
  <c r="D154" i="3"/>
  <c r="D94" i="3"/>
  <c r="D54" i="3"/>
  <c r="D125" i="3"/>
  <c r="D127" i="3"/>
  <c r="D167" i="3"/>
  <c r="D147" i="3"/>
  <c r="D107" i="3"/>
  <c r="D67" i="3"/>
  <c r="D47" i="3"/>
  <c r="D7" i="3"/>
  <c r="D188" i="3"/>
  <c r="D128" i="3"/>
  <c r="D88" i="3"/>
  <c r="D28" i="3"/>
  <c r="D187" i="3"/>
  <c r="D87" i="3"/>
  <c r="D27" i="3"/>
  <c r="D186" i="3"/>
  <c r="D86" i="3"/>
  <c r="D26" i="3"/>
  <c r="D185" i="3"/>
  <c r="D85" i="3"/>
  <c r="D25" i="3"/>
  <c r="D184" i="3"/>
  <c r="D164" i="3"/>
  <c r="D144" i="3"/>
  <c r="D124" i="3"/>
  <c r="D104" i="3"/>
  <c r="D84" i="3"/>
  <c r="D64" i="3"/>
  <c r="D44" i="3"/>
  <c r="D24" i="3"/>
  <c r="D4" i="3"/>
  <c r="D201" i="3"/>
  <c r="D161" i="3"/>
  <c r="D101" i="3"/>
  <c r="D61" i="3"/>
  <c r="D200" i="3"/>
  <c r="D160" i="3"/>
  <c r="D178" i="3"/>
  <c r="D138" i="3"/>
  <c r="D78" i="3"/>
  <c r="D38" i="3"/>
  <c r="D177" i="3"/>
  <c r="D137" i="3"/>
  <c r="D77" i="3"/>
  <c r="D37" i="3"/>
  <c r="D175" i="3"/>
  <c r="D135" i="3"/>
  <c r="D75" i="3"/>
  <c r="D35" i="3"/>
  <c r="D174" i="3"/>
  <c r="D134" i="3"/>
  <c r="D114" i="3"/>
  <c r="D74" i="3"/>
  <c r="D34" i="3"/>
  <c r="D14" i="3"/>
  <c r="D173" i="3"/>
  <c r="D133" i="3"/>
  <c r="D113" i="3"/>
  <c r="D73" i="3"/>
  <c r="D33" i="3"/>
  <c r="D13" i="3"/>
  <c r="D192" i="3"/>
  <c r="D172" i="3"/>
  <c r="D152" i="3"/>
  <c r="D132" i="3"/>
  <c r="D112" i="3"/>
  <c r="D92" i="3"/>
  <c r="D72" i="3"/>
  <c r="D52" i="3"/>
  <c r="D32" i="3"/>
  <c r="D12" i="3"/>
  <c r="D168" i="3"/>
  <c r="D148" i="3"/>
  <c r="D108" i="3"/>
  <c r="D68" i="3"/>
  <c r="D48" i="3"/>
  <c r="D8" i="3"/>
  <c r="D181" i="3"/>
  <c r="D141" i="3"/>
  <c r="D121" i="3"/>
  <c r="D81" i="3"/>
  <c r="D41" i="3"/>
  <c r="D21" i="3"/>
  <c r="E2" i="3"/>
  <c r="D183" i="3"/>
  <c r="D163" i="3"/>
  <c r="D143" i="3"/>
  <c r="D123" i="3"/>
  <c r="D103" i="3"/>
  <c r="D83" i="3"/>
  <c r="D63" i="3"/>
  <c r="D43" i="3"/>
  <c r="D23" i="3"/>
  <c r="D3" i="3"/>
  <c r="D191" i="3"/>
  <c r="D171" i="3"/>
  <c r="D151" i="3"/>
  <c r="D131" i="3"/>
  <c r="D111" i="3"/>
  <c r="D91" i="3"/>
  <c r="D71" i="3"/>
  <c r="D51" i="3"/>
  <c r="D31" i="3"/>
  <c r="D11" i="3"/>
  <c r="I2" i="3" l="1"/>
  <c r="G2" i="3"/>
  <c r="H2" i="3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3" i="1"/>
  <c r="J2" i="1"/>
  <c r="B8" i="1"/>
  <c r="B7" i="1"/>
  <c r="B6" i="1"/>
  <c r="B5" i="1"/>
  <c r="P3" i="2"/>
  <c r="O3" i="2"/>
  <c r="N3" i="2"/>
  <c r="M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3" i="2"/>
  <c r="J2" i="2"/>
  <c r="D100" i="2"/>
  <c r="A100" i="2"/>
  <c r="C100" i="2" s="1"/>
  <c r="D99" i="2"/>
  <c r="A99" i="2"/>
  <c r="B99" i="2" s="1"/>
  <c r="D98" i="2"/>
  <c r="A98" i="2"/>
  <c r="B98" i="2" s="1"/>
  <c r="D97" i="2"/>
  <c r="A97" i="2"/>
  <c r="B97" i="2" s="1"/>
  <c r="D96" i="2"/>
  <c r="A96" i="2"/>
  <c r="B96" i="2" s="1"/>
  <c r="D95" i="2"/>
  <c r="A95" i="2"/>
  <c r="D94" i="2"/>
  <c r="A94" i="2"/>
  <c r="C94" i="2" s="1"/>
  <c r="D93" i="2"/>
  <c r="A93" i="2"/>
  <c r="B93" i="2" s="1"/>
  <c r="D92" i="2"/>
  <c r="A92" i="2"/>
  <c r="C92" i="2" s="1"/>
  <c r="D91" i="2"/>
  <c r="A91" i="2"/>
  <c r="C91" i="2" s="1"/>
  <c r="D90" i="2"/>
  <c r="A90" i="2"/>
  <c r="C90" i="2" s="1"/>
  <c r="D89" i="2"/>
  <c r="A89" i="2"/>
  <c r="C89" i="2" s="1"/>
  <c r="D88" i="2"/>
  <c r="A88" i="2"/>
  <c r="B88" i="2" s="1"/>
  <c r="D87" i="2"/>
  <c r="A87" i="2"/>
  <c r="B87" i="2" s="1"/>
  <c r="D86" i="2"/>
  <c r="A86" i="2"/>
  <c r="B86" i="2" s="1"/>
  <c r="D85" i="2"/>
  <c r="A85" i="2"/>
  <c r="C85" i="2" s="1"/>
  <c r="D84" i="2"/>
  <c r="A84" i="2"/>
  <c r="B84" i="2" s="1"/>
  <c r="D83" i="2"/>
  <c r="A83" i="2"/>
  <c r="C83" i="2" s="1"/>
  <c r="D82" i="2"/>
  <c r="A82" i="2"/>
  <c r="B82" i="2" s="1"/>
  <c r="D81" i="2"/>
  <c r="A81" i="2"/>
  <c r="B81" i="2" s="1"/>
  <c r="D80" i="2"/>
  <c r="A80" i="2"/>
  <c r="B80" i="2" s="1"/>
  <c r="D79" i="2"/>
  <c r="A79" i="2"/>
  <c r="B79" i="2" s="1"/>
  <c r="D78" i="2"/>
  <c r="A78" i="2"/>
  <c r="C78" i="2" s="1"/>
  <c r="D77" i="2"/>
  <c r="A77" i="2"/>
  <c r="B77" i="2" s="1"/>
  <c r="D76" i="2"/>
  <c r="A76" i="2"/>
  <c r="C76" i="2" s="1"/>
  <c r="D75" i="2"/>
  <c r="A75" i="2"/>
  <c r="D74" i="2"/>
  <c r="A74" i="2"/>
  <c r="B74" i="2" s="1"/>
  <c r="D73" i="2"/>
  <c r="A73" i="2"/>
  <c r="B73" i="2" s="1"/>
  <c r="D72" i="2"/>
  <c r="A72" i="2"/>
  <c r="C72" i="2" s="1"/>
  <c r="D71" i="2"/>
  <c r="A71" i="2"/>
  <c r="D70" i="2"/>
  <c r="A70" i="2"/>
  <c r="B70" i="2" s="1"/>
  <c r="D69" i="2"/>
  <c r="A69" i="2"/>
  <c r="B69" i="2" s="1"/>
  <c r="D68" i="2"/>
  <c r="A68" i="2"/>
  <c r="B68" i="2" s="1"/>
  <c r="D67" i="2"/>
  <c r="A67" i="2"/>
  <c r="B67" i="2" s="1"/>
  <c r="D66" i="2"/>
  <c r="A66" i="2"/>
  <c r="B66" i="2" s="1"/>
  <c r="D65" i="2"/>
  <c r="A65" i="2"/>
  <c r="B65" i="2" s="1"/>
  <c r="D64" i="2"/>
  <c r="A64" i="2"/>
  <c r="B64" i="2" s="1"/>
  <c r="D63" i="2"/>
  <c r="A63" i="2"/>
  <c r="B63" i="2" s="1"/>
  <c r="D62" i="2"/>
  <c r="A62" i="2"/>
  <c r="B62" i="2" s="1"/>
  <c r="D61" i="2"/>
  <c r="A61" i="2"/>
  <c r="B61" i="2" s="1"/>
  <c r="D60" i="2"/>
  <c r="A60" i="2"/>
  <c r="B60" i="2" s="1"/>
  <c r="D59" i="2"/>
  <c r="A59" i="2"/>
  <c r="C59" i="2" s="1"/>
  <c r="D58" i="2"/>
  <c r="A58" i="2"/>
  <c r="C58" i="2" s="1"/>
  <c r="D57" i="2"/>
  <c r="A57" i="2"/>
  <c r="B57" i="2" s="1"/>
  <c r="D56" i="2"/>
  <c r="A56" i="2"/>
  <c r="B56" i="2" s="1"/>
  <c r="D55" i="2"/>
  <c r="A55" i="2"/>
  <c r="D54" i="2"/>
  <c r="A54" i="2"/>
  <c r="C54" i="2" s="1"/>
  <c r="D53" i="2"/>
  <c r="A53" i="2"/>
  <c r="B53" i="2" s="1"/>
  <c r="D52" i="2"/>
  <c r="A52" i="2"/>
  <c r="C52" i="2" s="1"/>
  <c r="D51" i="2"/>
  <c r="A51" i="2"/>
  <c r="C51" i="2" s="1"/>
  <c r="D50" i="2"/>
  <c r="A50" i="2"/>
  <c r="C50" i="2" s="1"/>
  <c r="D49" i="2"/>
  <c r="A49" i="2"/>
  <c r="B49" i="2" s="1"/>
  <c r="D48" i="2"/>
  <c r="A48" i="2"/>
  <c r="B48" i="2" s="1"/>
  <c r="D47" i="2"/>
  <c r="A47" i="2"/>
  <c r="C47" i="2" s="1"/>
  <c r="D46" i="2"/>
  <c r="A46" i="2"/>
  <c r="B46" i="2" s="1"/>
  <c r="D45" i="2"/>
  <c r="A45" i="2"/>
  <c r="B45" i="2" s="1"/>
  <c r="D44" i="2"/>
  <c r="A44" i="2"/>
  <c r="C44" i="2" s="1"/>
  <c r="D43" i="2"/>
  <c r="A43" i="2"/>
  <c r="B43" i="2" s="1"/>
  <c r="D42" i="2"/>
  <c r="A42" i="2"/>
  <c r="B42" i="2" s="1"/>
  <c r="D41" i="2"/>
  <c r="A41" i="2"/>
  <c r="B41" i="2" s="1"/>
  <c r="D40" i="2"/>
  <c r="A40" i="2"/>
  <c r="C40" i="2" s="1"/>
  <c r="D39" i="2"/>
  <c r="A39" i="2"/>
  <c r="B39" i="2" s="1"/>
  <c r="D38" i="2"/>
  <c r="A38" i="2"/>
  <c r="B38" i="2" s="1"/>
  <c r="D37" i="2"/>
  <c r="A37" i="2"/>
  <c r="B37" i="2" s="1"/>
  <c r="D36" i="2"/>
  <c r="A36" i="2"/>
  <c r="C36" i="2" s="1"/>
  <c r="D35" i="2"/>
  <c r="A35" i="2"/>
  <c r="D34" i="2"/>
  <c r="A34" i="2"/>
  <c r="B34" i="2" s="1"/>
  <c r="D33" i="2"/>
  <c r="A33" i="2"/>
  <c r="B33" i="2" s="1"/>
  <c r="D32" i="2"/>
  <c r="A32" i="2"/>
  <c r="C32" i="2" s="1"/>
  <c r="D31" i="2"/>
  <c r="A31" i="2"/>
  <c r="D30" i="2"/>
  <c r="A30" i="2"/>
  <c r="B30" i="2" s="1"/>
  <c r="D29" i="2"/>
  <c r="A29" i="2"/>
  <c r="C29" i="2" s="1"/>
  <c r="D28" i="2"/>
  <c r="A28" i="2"/>
  <c r="C28" i="2" s="1"/>
  <c r="D27" i="2"/>
  <c r="A27" i="2"/>
  <c r="B27" i="2" s="1"/>
  <c r="D26" i="2"/>
  <c r="A26" i="2"/>
  <c r="C26" i="2" s="1"/>
  <c r="D25" i="2"/>
  <c r="A25" i="2"/>
  <c r="B25" i="2" s="1"/>
  <c r="D24" i="2"/>
  <c r="A24" i="2"/>
  <c r="B24" i="2" s="1"/>
  <c r="D23" i="2"/>
  <c r="A23" i="2"/>
  <c r="C23" i="2" s="1"/>
  <c r="D22" i="2"/>
  <c r="A22" i="2"/>
  <c r="B22" i="2" s="1"/>
  <c r="D21" i="2"/>
  <c r="A21" i="2"/>
  <c r="B21" i="2" s="1"/>
  <c r="D20" i="2"/>
  <c r="A20" i="2"/>
  <c r="C20" i="2" s="1"/>
  <c r="D19" i="2"/>
  <c r="A19" i="2"/>
  <c r="C19" i="2" s="1"/>
  <c r="D18" i="2"/>
  <c r="A18" i="2"/>
  <c r="B18" i="2" s="1"/>
  <c r="D17" i="2"/>
  <c r="A17" i="2"/>
  <c r="B17" i="2" s="1"/>
  <c r="D16" i="2"/>
  <c r="A16" i="2"/>
  <c r="D15" i="2"/>
  <c r="A15" i="2"/>
  <c r="C15" i="2" s="1"/>
  <c r="D14" i="2"/>
  <c r="A14" i="2"/>
  <c r="B14" i="2" s="1"/>
  <c r="D13" i="2"/>
  <c r="A13" i="2"/>
  <c r="B13" i="2" s="1"/>
  <c r="D12" i="2"/>
  <c r="A12" i="2"/>
  <c r="B12" i="2" s="1"/>
  <c r="D11" i="2"/>
  <c r="A11" i="2"/>
  <c r="B11" i="2" s="1"/>
  <c r="D10" i="2"/>
  <c r="A10" i="2"/>
  <c r="C10" i="2" s="1"/>
  <c r="H2" i="2"/>
  <c r="H60" i="1"/>
  <c r="H61" i="1"/>
  <c r="H62" i="1"/>
  <c r="H63" i="1"/>
  <c r="H64" i="1"/>
  <c r="H65" i="1"/>
  <c r="H66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8" i="1"/>
  <c r="H3" i="1"/>
  <c r="H4" i="1"/>
  <c r="H5" i="1"/>
  <c r="H6" i="1"/>
  <c r="H7" i="1"/>
  <c r="H2" i="1"/>
  <c r="E53" i="2" l="1"/>
  <c r="E43" i="2"/>
  <c r="E11" i="2"/>
  <c r="E21" i="2"/>
  <c r="E61" i="2"/>
  <c r="E81" i="2"/>
  <c r="C80" i="2"/>
  <c r="E12" i="2"/>
  <c r="E24" i="2"/>
  <c r="E64" i="2"/>
  <c r="E18" i="2"/>
  <c r="E48" i="2"/>
  <c r="E88" i="2"/>
  <c r="E80" i="2"/>
  <c r="C65" i="2"/>
  <c r="C56" i="2"/>
  <c r="B26" i="2"/>
  <c r="E26" i="2" s="1"/>
  <c r="C67" i="2"/>
  <c r="C25" i="2"/>
  <c r="C17" i="2"/>
  <c r="C97" i="2"/>
  <c r="E70" i="2"/>
  <c r="E97" i="2"/>
  <c r="C87" i="2"/>
  <c r="C86" i="2"/>
  <c r="B15" i="2"/>
  <c r="E15" i="2" s="1"/>
  <c r="C13" i="2"/>
  <c r="B47" i="2"/>
  <c r="E47" i="2" s="1"/>
  <c r="B44" i="2"/>
  <c r="E44" i="2" s="1"/>
  <c r="B54" i="2"/>
  <c r="E54" i="2" s="1"/>
  <c r="B85" i="2"/>
  <c r="E85" i="2" s="1"/>
  <c r="B36" i="2"/>
  <c r="E36" i="2" s="1"/>
  <c r="C30" i="2"/>
  <c r="C82" i="2"/>
  <c r="B29" i="2"/>
  <c r="E29" i="2" s="1"/>
  <c r="B90" i="2"/>
  <c r="E90" i="2" s="1"/>
  <c r="C81" i="2"/>
  <c r="C12" i="2"/>
  <c r="B51" i="2"/>
  <c r="E51" i="2" s="1"/>
  <c r="B91" i="2"/>
  <c r="E91" i="2" s="1"/>
  <c r="C66" i="2"/>
  <c r="C45" i="2"/>
  <c r="B20" i="2"/>
  <c r="E20" i="2" s="1"/>
  <c r="B52" i="2"/>
  <c r="E52" i="2" s="1"/>
  <c r="C24" i="2"/>
  <c r="E67" i="2"/>
  <c r="C63" i="2"/>
  <c r="C14" i="2"/>
  <c r="C62" i="2"/>
  <c r="B28" i="2"/>
  <c r="E28" i="2" s="1"/>
  <c r="C79" i="2"/>
  <c r="B78" i="2"/>
  <c r="E78" i="2" s="1"/>
  <c r="C38" i="2"/>
  <c r="C98" i="2"/>
  <c r="B50" i="2"/>
  <c r="E50" i="2" s="1"/>
  <c r="C73" i="2"/>
  <c r="B89" i="2"/>
  <c r="E89" i="2" s="1"/>
  <c r="C39" i="2"/>
  <c r="E77" i="2"/>
  <c r="C61" i="2"/>
  <c r="C33" i="2"/>
  <c r="C21" i="2"/>
  <c r="B83" i="2"/>
  <c r="E83" i="2" s="1"/>
  <c r="B58" i="2"/>
  <c r="E58" i="2" s="1"/>
  <c r="C46" i="2"/>
  <c r="C88" i="2"/>
  <c r="E87" i="2"/>
  <c r="C49" i="2"/>
  <c r="B23" i="2"/>
  <c r="E23" i="2" s="1"/>
  <c r="B59" i="2"/>
  <c r="E59" i="2" s="1"/>
  <c r="C34" i="2"/>
  <c r="E84" i="2"/>
  <c r="E38" i="2"/>
  <c r="E68" i="2"/>
  <c r="E22" i="2"/>
  <c r="E14" i="2"/>
  <c r="E79" i="2"/>
  <c r="E45" i="2"/>
  <c r="E30" i="2"/>
  <c r="E65" i="2"/>
  <c r="E60" i="2"/>
  <c r="E57" i="2"/>
  <c r="E37" i="2"/>
  <c r="E17" i="2"/>
  <c r="B94" i="2"/>
  <c r="E94" i="2" s="1"/>
  <c r="B19" i="2"/>
  <c r="E19" i="2" s="1"/>
  <c r="E33" i="2"/>
  <c r="E49" i="2"/>
  <c r="E41" i="2"/>
  <c r="E27" i="2"/>
  <c r="C53" i="2"/>
  <c r="C48" i="2"/>
  <c r="E63" i="2"/>
  <c r="E73" i="2"/>
  <c r="B100" i="2"/>
  <c r="E100" i="2" s="1"/>
  <c r="E93" i="2"/>
  <c r="C77" i="2"/>
  <c r="C69" i="2"/>
  <c r="C64" i="2"/>
  <c r="C42" i="2"/>
  <c r="E98" i="2"/>
  <c r="E82" i="2"/>
  <c r="E39" i="2"/>
  <c r="C70" i="2"/>
  <c r="C57" i="2"/>
  <c r="C43" i="2"/>
  <c r="B76" i="2"/>
  <c r="E76" i="2" s="1"/>
  <c r="E25" i="2"/>
  <c r="E69" i="2"/>
  <c r="E56" i="2"/>
  <c r="C93" i="2"/>
  <c r="C74" i="2"/>
  <c r="C60" i="2"/>
  <c r="C27" i="2"/>
  <c r="C18" i="2"/>
  <c r="E96" i="2"/>
  <c r="E62" i="2"/>
  <c r="E42" i="2"/>
  <c r="C84" i="2"/>
  <c r="B40" i="2"/>
  <c r="E40" i="2" s="1"/>
  <c r="E99" i="2"/>
  <c r="C37" i="2"/>
  <c r="C22" i="2"/>
  <c r="C68" i="2"/>
  <c r="C41" i="2"/>
  <c r="B92" i="2"/>
  <c r="E92" i="2" s="1"/>
  <c r="B71" i="2"/>
  <c r="E71" i="2" s="1"/>
  <c r="C71" i="2"/>
  <c r="E34" i="2"/>
  <c r="E74" i="2"/>
  <c r="B31" i="2"/>
  <c r="E31" i="2" s="1"/>
  <c r="C31" i="2"/>
  <c r="B16" i="2"/>
  <c r="E16" i="2" s="1"/>
  <c r="C16" i="2"/>
  <c r="E86" i="2"/>
  <c r="E66" i="2"/>
  <c r="E46" i="2"/>
  <c r="C99" i="2"/>
  <c r="C96" i="2"/>
  <c r="B72" i="2"/>
  <c r="E72" i="2" s="1"/>
  <c r="B32" i="2"/>
  <c r="E32" i="2" s="1"/>
  <c r="E13" i="2"/>
  <c r="B95" i="2"/>
  <c r="E95" i="2" s="1"/>
  <c r="C95" i="2"/>
  <c r="B75" i="2"/>
  <c r="E75" i="2" s="1"/>
  <c r="C75" i="2"/>
  <c r="B35" i="2"/>
  <c r="E35" i="2" s="1"/>
  <c r="C35" i="2"/>
  <c r="B55" i="2"/>
  <c r="E55" i="2" s="1"/>
  <c r="C55" i="2"/>
  <c r="C11" i="2"/>
  <c r="F10" i="2"/>
  <c r="B10" i="2"/>
  <c r="E10" i="2" s="1"/>
  <c r="G10" i="2" s="1"/>
  <c r="D5" i="1"/>
  <c r="D6" i="1"/>
  <c r="D7" i="1"/>
  <c r="D8" i="1"/>
  <c r="G11" i="2" l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F11" i="2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G2" i="2" l="1" a="1"/>
  <c r="G2" i="2" s="1"/>
  <c r="K1" i="2" s="1"/>
  <c r="C5" i="1"/>
  <c r="C7" i="1"/>
  <c r="C8" i="1"/>
  <c r="C6" i="1"/>
  <c r="E5" i="1" l="1"/>
  <c r="F5" i="1" s="1"/>
  <c r="K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<sst xmlns="http://schemas.openxmlformats.org/spreadsheetml/2006/main" count="53" uniqueCount="47">
  <si>
    <t>Hunter #</t>
  </si>
  <si>
    <t>Clip Size</t>
  </si>
  <si>
    <t>Attack Interval</t>
  </si>
  <si>
    <t>Reload Time</t>
  </si>
  <si>
    <t>Damage per Round</t>
  </si>
  <si>
    <t>Mechanical DPS</t>
  </si>
  <si>
    <t>Skill Factor</t>
  </si>
  <si>
    <t>Effective DPS</t>
  </si>
  <si>
    <t>Kaiju Health</t>
  </si>
  <si>
    <t>Time to Kill</t>
  </si>
  <si>
    <t>Seed</t>
  </si>
  <si>
    <t>Team Effective DPS</t>
  </si>
  <si>
    <t>Team Time To Kill</t>
  </si>
  <si>
    <t>Run #</t>
  </si>
  <si>
    <t>Result</t>
  </si>
  <si>
    <t>Kaiju DPS</t>
  </si>
  <si>
    <t>Base Efficiency</t>
  </si>
  <si>
    <t>Doom Target</t>
  </si>
  <si>
    <t>Efficiency Variance</t>
  </si>
  <si>
    <t>Kaiju Win Time</t>
  </si>
  <si>
    <t>Time To Win</t>
  </si>
  <si>
    <t>Type</t>
  </si>
  <si>
    <t>Spawn %</t>
  </si>
  <si>
    <t>Health</t>
  </si>
  <si>
    <t>Doom</t>
  </si>
  <si>
    <t>Small</t>
  </si>
  <si>
    <t>Medium</t>
  </si>
  <si>
    <t>Large</t>
  </si>
  <si>
    <t>Building Stuff</t>
  </si>
  <si>
    <t>Building Type</t>
  </si>
  <si>
    <t>Doom Gain</t>
  </si>
  <si>
    <t>Efficiency</t>
  </si>
  <si>
    <t>Time to Destroy</t>
  </si>
  <si>
    <t>Total Doom</t>
  </si>
  <si>
    <t>Total Time</t>
  </si>
  <si>
    <t>Average</t>
  </si>
  <si>
    <t>Fastest</t>
  </si>
  <si>
    <t>Slowest</t>
  </si>
  <si>
    <t>Constistency</t>
  </si>
  <si>
    <t>Fastet</t>
  </si>
  <si>
    <t>Hunter TTK</t>
  </si>
  <si>
    <t>Match Time</t>
  </si>
  <si>
    <t>Hunter Win%</t>
  </si>
  <si>
    <t>Kaiju Win%</t>
  </si>
  <si>
    <t>Average Match Time</t>
  </si>
  <si>
    <t>Average Hunter TTK</t>
  </si>
  <si>
    <t>Average Kaiju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</si>
</sst>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E84A-1B08-4500-928C-CFA97A89271A}">
  <dimension ref="A1:O201"/>
  <sheetViews>
    <sheetView workbookViewId="0">
      <selection activeCell="D2" sqref="D2"/>
    </sheetView>
  </sheetViews>
  <sheetFormatPr defaultRowHeight="14.5" x14ac:dyDescent="0.35"/>
  <cols>
    <col min="2" max="2" width="12.453125" bestFit="1" customWidth="1"/>
    <col min="3" max="3" width="12.453125" customWidth="1"/>
    <col min="4" max="4" width="16.36328125" customWidth="1"/>
    <col min="5" max="5" width="16.453125" customWidth="1"/>
    <col min="6" max="6" width="15.26953125" customWidth="1"/>
    <col min="7" max="7" width="10.453125" customWidth="1"/>
  </cols>
  <sheetData>
    <row r="1" spans="1:15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G1" t="s">
        <v>8</v>
      </c>
      <c r="H1" t="s">
        <v>10</v>
      </c>
      <c r="K1">
        <f ca="1">$F$5</f>
        <v>135.88660383025208</v>
      </c>
    </row>
    <row r="2" spans="1:15" x14ac:dyDescent="0.35">
      <c r="A2">
        <v>2</v>
      </c>
      <c r="B2">
        <v>0.8</v>
      </c>
      <c r="C2">
        <v>1.8</v>
      </c>
      <c r="D2">
        <v>100</v>
      </c>
      <c r="E2">
        <f>(C2*D2)/(A2-1)*B2+C2</f>
        <v>145.80000000000001</v>
      </c>
      <c r="G2">
        <v>40000</v>
      </c>
      <c r="H2">
        <f>ROW()-1</f>
        <v>1</v>
      </c>
      <c r="J2">
        <f>1</f>
        <v>1</v>
      </c>
      <c r="K2">
        <f t="dataTable" ref="K2:K201" dt2D="0" dtr="0" r1="H2" ca="1"/>
        <v>95.286343401645979</v>
      </c>
      <c r="M2" t="s">
        <v>35</v>
      </c>
      <c r="N2" t="s">
        <v>39</v>
      </c>
      <c r="O2" t="s">
        <v>37</v>
      </c>
    </row>
    <row r="3" spans="1:15" x14ac:dyDescent="0.35">
      <c r="H3">
        <f t="shared" ref="H3:H7" si="0">ROW()-1</f>
        <v>2</v>
      </c>
      <c r="J3">
        <f>J2+1</f>
        <v>2</v>
      </c>
      <c r="K3">
        <v>91.291645606285456</v>
      </c>
      <c r="M3">
        <f>AVERAGE(K2:K201)</f>
        <v>99.340298491789611</v>
      </c>
      <c r="N3">
        <f>MIN(K2:K201)</f>
        <v>72.399976175538541</v>
      </c>
      <c r="O3">
        <f>MAX(K2:K201)</f>
        <v>136.51688004569934</v>
      </c>
    </row>
    <row r="4" spans="1:15" x14ac:dyDescent="0.35">
      <c r="A4" t="s">
        <v>0</v>
      </c>
      <c r="B4" t="s">
        <v>6</v>
      </c>
      <c r="C4" t="s">
        <v>7</v>
      </c>
      <c r="D4" t="s">
        <v>9</v>
      </c>
      <c r="E4" t="s">
        <v>11</v>
      </c>
      <c r="F4" t="s">
        <v>12</v>
      </c>
      <c r="G4" t="s">
        <v>13</v>
      </c>
      <c r="H4">
        <f t="shared" si="0"/>
        <v>3</v>
      </c>
      <c r="J4">
        <f t="shared" ref="J4:J67" si="1">J3+1</f>
        <v>3</v>
      </c>
      <c r="K4">
        <v>101.28626669843287</v>
      </c>
    </row>
    <row r="5" spans="1:15" x14ac:dyDescent="0.35">
      <c r="A5">
        <v>1</v>
      </c>
      <c r="B5">
        <f ca="1">0.7 + ((RAND() + $H$2/10000) - 0.5) * 2 * 0.3</f>
        <v>0.60740108816752481</v>
      </c>
      <c r="C5">
        <f t="shared" ref="C5:C32" ca="1" si="2">$E$2 * B5</f>
        <v>88.559078654825129</v>
      </c>
      <c r="D5">
        <f t="shared" ref="D5:D32" ca="1" si="3" xml:space="preserve"> $G$2 /B5</f>
        <v>65854.343660589162</v>
      </c>
      <c r="E5">
        <f ca="1">SUM(C5:C8)</f>
        <v>294.3630856354871</v>
      </c>
      <c r="F5">
        <f ca="1">$G$2/E5</f>
        <v>135.88660383025208</v>
      </c>
      <c r="H5">
        <f t="shared" si="0"/>
        <v>4</v>
      </c>
      <c r="J5">
        <f t="shared" si="1"/>
        <v>4</v>
      </c>
      <c r="K5">
        <v>129.42364977093442</v>
      </c>
    </row>
    <row r="6" spans="1:15" x14ac:dyDescent="0.35">
      <c r="A6">
        <v>2</v>
      </c>
      <c r="B6">
        <f ca="1">0.7 + ((RAND() + $H$2/10000) - 0.5) * 2 * 0.3</f>
        <v>0.5389055228715699</v>
      </c>
      <c r="C6">
        <f t="shared" ca="1" si="2"/>
        <v>78.572425234674895</v>
      </c>
      <c r="D6">
        <f t="shared" ca="1" si="3"/>
        <v>74224.513021984123</v>
      </c>
      <c r="H6">
        <f t="shared" si="0"/>
        <v>5</v>
      </c>
      <c r="J6">
        <f t="shared" si="1"/>
        <v>5</v>
      </c>
      <c r="K6">
        <v>89.623881306656443</v>
      </c>
    </row>
    <row r="7" spans="1:15" x14ac:dyDescent="0.35">
      <c r="A7">
        <v>3</v>
      </c>
      <c r="B7">
        <f ca="1">0.7 + ((RAND() + $H$2/10000) - 0.5) * 2 * 0.3</f>
        <v>0.45363468572025378</v>
      </c>
      <c r="C7">
        <f t="shared" ca="1" si="2"/>
        <v>66.139937178013</v>
      </c>
      <c r="D7">
        <f t="shared" ca="1" si="3"/>
        <v>88176.678854462851</v>
      </c>
      <c r="H7">
        <f t="shared" si="0"/>
        <v>6</v>
      </c>
      <c r="J7">
        <f t="shared" si="1"/>
        <v>6</v>
      </c>
      <c r="K7">
        <v>89.541091385231041</v>
      </c>
    </row>
    <row r="8" spans="1:15" x14ac:dyDescent="0.35">
      <c r="A8">
        <v>4</v>
      </c>
      <c r="B8">
        <f ca="1">0.7 + ((RAND() + $H$2/10000) - 0.5) * 2 * 0.3</f>
        <v>0.41900990787362186</v>
      </c>
      <c r="C8">
        <f t="shared" ca="1" si="2"/>
        <v>61.091644567974072</v>
      </c>
      <c r="D8">
        <f t="shared" ca="1" si="3"/>
        <v>95463.136427944453</v>
      </c>
      <c r="H8">
        <f>ROW()-1</f>
        <v>7</v>
      </c>
      <c r="J8">
        <f t="shared" si="1"/>
        <v>7</v>
      </c>
      <c r="K8">
        <v>94.607648176706334</v>
      </c>
    </row>
    <row r="9" spans="1:15" x14ac:dyDescent="0.35">
      <c r="H9">
        <f t="shared" ref="H9:H66" si="4">ROW()-1</f>
        <v>8</v>
      </c>
      <c r="J9">
        <f t="shared" si="1"/>
        <v>8</v>
      </c>
      <c r="K9">
        <v>105.42460588613383</v>
      </c>
    </row>
    <row r="10" spans="1:15" x14ac:dyDescent="0.35">
      <c r="H10">
        <f t="shared" si="4"/>
        <v>9</v>
      </c>
      <c r="J10">
        <f t="shared" si="1"/>
        <v>9</v>
      </c>
      <c r="K10">
        <v>107.33984316297153</v>
      </c>
    </row>
    <row r="11" spans="1:15" x14ac:dyDescent="0.35">
      <c r="H11">
        <f t="shared" si="4"/>
        <v>10</v>
      </c>
      <c r="J11">
        <f t="shared" si="1"/>
        <v>10</v>
      </c>
      <c r="K11">
        <v>105.01581531054997</v>
      </c>
    </row>
    <row r="12" spans="1:15" x14ac:dyDescent="0.35">
      <c r="H12">
        <f t="shared" si="4"/>
        <v>11</v>
      </c>
      <c r="J12">
        <f t="shared" si="1"/>
        <v>11</v>
      </c>
      <c r="K12">
        <v>102.1356789303229</v>
      </c>
    </row>
    <row r="13" spans="1:15" x14ac:dyDescent="0.35">
      <c r="H13">
        <f t="shared" si="4"/>
        <v>12</v>
      </c>
      <c r="J13">
        <f t="shared" si="1"/>
        <v>12</v>
      </c>
      <c r="K13">
        <v>102.01716392477512</v>
      </c>
    </row>
    <row r="14" spans="1:15" x14ac:dyDescent="0.35">
      <c r="H14">
        <f t="shared" si="4"/>
        <v>13</v>
      </c>
      <c r="J14">
        <f t="shared" si="1"/>
        <v>13</v>
      </c>
      <c r="K14">
        <v>72.399976175538541</v>
      </c>
    </row>
    <row r="15" spans="1:15" x14ac:dyDescent="0.35">
      <c r="H15">
        <f t="shared" si="4"/>
        <v>14</v>
      </c>
      <c r="J15">
        <f t="shared" si="1"/>
        <v>14</v>
      </c>
      <c r="K15">
        <v>102.74591531785644</v>
      </c>
    </row>
    <row r="16" spans="1:15" x14ac:dyDescent="0.35">
      <c r="H16">
        <f t="shared" si="4"/>
        <v>15</v>
      </c>
      <c r="J16">
        <f t="shared" si="1"/>
        <v>15</v>
      </c>
      <c r="K16">
        <v>79.363155651841851</v>
      </c>
    </row>
    <row r="17" spans="8:11" x14ac:dyDescent="0.35">
      <c r="H17">
        <f t="shared" si="4"/>
        <v>16</v>
      </c>
      <c r="J17">
        <f t="shared" si="1"/>
        <v>16</v>
      </c>
      <c r="K17">
        <v>99.764887547541704</v>
      </c>
    </row>
    <row r="18" spans="8:11" x14ac:dyDescent="0.35">
      <c r="H18">
        <f t="shared" si="4"/>
        <v>17</v>
      </c>
      <c r="J18">
        <f t="shared" si="1"/>
        <v>17</v>
      </c>
      <c r="K18">
        <v>96.48948203176495</v>
      </c>
    </row>
    <row r="19" spans="8:11" x14ac:dyDescent="0.35">
      <c r="H19">
        <f t="shared" si="4"/>
        <v>18</v>
      </c>
      <c r="J19">
        <f t="shared" si="1"/>
        <v>18</v>
      </c>
      <c r="K19">
        <v>124.65523472664427</v>
      </c>
    </row>
    <row r="20" spans="8:11" x14ac:dyDescent="0.35">
      <c r="H20">
        <f t="shared" si="4"/>
        <v>19</v>
      </c>
      <c r="J20">
        <f t="shared" si="1"/>
        <v>19</v>
      </c>
      <c r="K20">
        <v>80.566928694577356</v>
      </c>
    </row>
    <row r="21" spans="8:11" x14ac:dyDescent="0.35">
      <c r="H21">
        <f t="shared" si="4"/>
        <v>20</v>
      </c>
      <c r="J21">
        <f t="shared" si="1"/>
        <v>20</v>
      </c>
      <c r="K21">
        <v>88.134903415117776</v>
      </c>
    </row>
    <row r="22" spans="8:11" x14ac:dyDescent="0.35">
      <c r="H22">
        <f t="shared" si="4"/>
        <v>21</v>
      </c>
      <c r="J22">
        <f t="shared" si="1"/>
        <v>21</v>
      </c>
      <c r="K22">
        <v>98.253525719497262</v>
      </c>
    </row>
    <row r="23" spans="8:11" x14ac:dyDescent="0.35">
      <c r="H23">
        <f t="shared" si="4"/>
        <v>22</v>
      </c>
      <c r="J23">
        <f t="shared" si="1"/>
        <v>22</v>
      </c>
      <c r="K23">
        <v>79.421102546376162</v>
      </c>
    </row>
    <row r="24" spans="8:11" x14ac:dyDescent="0.35">
      <c r="H24">
        <f t="shared" si="4"/>
        <v>23</v>
      </c>
      <c r="J24">
        <f t="shared" si="1"/>
        <v>23</v>
      </c>
      <c r="K24">
        <v>95.894188130411649</v>
      </c>
    </row>
    <row r="25" spans="8:11" x14ac:dyDescent="0.35">
      <c r="H25">
        <f t="shared" si="4"/>
        <v>24</v>
      </c>
      <c r="J25">
        <f t="shared" si="1"/>
        <v>24</v>
      </c>
      <c r="K25">
        <v>97.996776636652783</v>
      </c>
    </row>
    <row r="26" spans="8:11" x14ac:dyDescent="0.35">
      <c r="H26">
        <f t="shared" si="4"/>
        <v>25</v>
      </c>
      <c r="J26">
        <f t="shared" si="1"/>
        <v>25</v>
      </c>
      <c r="K26">
        <v>121.32478547352729</v>
      </c>
    </row>
    <row r="27" spans="8:11" x14ac:dyDescent="0.35">
      <c r="H27">
        <f t="shared" si="4"/>
        <v>26</v>
      </c>
      <c r="J27">
        <f t="shared" si="1"/>
        <v>26</v>
      </c>
      <c r="K27">
        <v>90.887190676090839</v>
      </c>
    </row>
    <row r="28" spans="8:11" x14ac:dyDescent="0.35">
      <c r="H28">
        <f t="shared" si="4"/>
        <v>27</v>
      </c>
      <c r="J28">
        <f t="shared" si="1"/>
        <v>27</v>
      </c>
      <c r="K28">
        <v>100.50884347272543</v>
      </c>
    </row>
    <row r="29" spans="8:11" x14ac:dyDescent="0.35">
      <c r="H29">
        <f t="shared" si="4"/>
        <v>28</v>
      </c>
      <c r="J29">
        <f t="shared" si="1"/>
        <v>28</v>
      </c>
      <c r="K29">
        <v>97.846888936888988</v>
      </c>
    </row>
    <row r="30" spans="8:11" x14ac:dyDescent="0.35">
      <c r="H30">
        <f t="shared" si="4"/>
        <v>29</v>
      </c>
      <c r="J30">
        <f t="shared" si="1"/>
        <v>29</v>
      </c>
      <c r="K30">
        <v>110.53393331982107</v>
      </c>
    </row>
    <row r="31" spans="8:11" x14ac:dyDescent="0.35">
      <c r="H31">
        <f t="shared" si="4"/>
        <v>30</v>
      </c>
      <c r="J31">
        <f t="shared" si="1"/>
        <v>30</v>
      </c>
      <c r="K31">
        <v>104.78759635240787</v>
      </c>
    </row>
    <row r="32" spans="8:11" x14ac:dyDescent="0.35">
      <c r="H32">
        <f t="shared" si="4"/>
        <v>31</v>
      </c>
      <c r="J32">
        <f t="shared" si="1"/>
        <v>31</v>
      </c>
      <c r="K32">
        <v>98.765943123633747</v>
      </c>
    </row>
    <row r="33" spans="8:11" x14ac:dyDescent="0.35">
      <c r="H33">
        <f t="shared" si="4"/>
        <v>32</v>
      </c>
      <c r="J33">
        <f t="shared" si="1"/>
        <v>32</v>
      </c>
      <c r="K33">
        <v>113.96747135742318</v>
      </c>
    </row>
    <row r="34" spans="8:11" x14ac:dyDescent="0.35">
      <c r="H34">
        <f t="shared" si="4"/>
        <v>33</v>
      </c>
      <c r="J34">
        <f t="shared" si="1"/>
        <v>33</v>
      </c>
      <c r="K34">
        <v>101.25644061056062</v>
      </c>
    </row>
    <row r="35" spans="8:11" x14ac:dyDescent="0.35">
      <c r="H35">
        <f t="shared" si="4"/>
        <v>34</v>
      </c>
      <c r="J35">
        <f t="shared" si="1"/>
        <v>34</v>
      </c>
      <c r="K35">
        <v>103.86712933205392</v>
      </c>
    </row>
    <row r="36" spans="8:11" x14ac:dyDescent="0.35">
      <c r="H36">
        <f t="shared" si="4"/>
        <v>35</v>
      </c>
      <c r="J36">
        <f t="shared" si="1"/>
        <v>35</v>
      </c>
      <c r="K36">
        <v>96.553917779391043</v>
      </c>
    </row>
    <row r="37" spans="8:11" x14ac:dyDescent="0.35">
      <c r="H37">
        <f t="shared" si="4"/>
        <v>36</v>
      </c>
      <c r="J37">
        <f t="shared" si="1"/>
        <v>36</v>
      </c>
      <c r="K37">
        <v>91.226526511206359</v>
      </c>
    </row>
    <row r="38" spans="8:11" x14ac:dyDescent="0.35">
      <c r="H38">
        <f t="shared" si="4"/>
        <v>37</v>
      </c>
      <c r="J38">
        <f t="shared" si="1"/>
        <v>37</v>
      </c>
      <c r="K38">
        <v>95.979265698275839</v>
      </c>
    </row>
    <row r="39" spans="8:11" x14ac:dyDescent="0.35">
      <c r="H39">
        <f t="shared" si="4"/>
        <v>38</v>
      </c>
      <c r="J39">
        <f t="shared" si="1"/>
        <v>38</v>
      </c>
      <c r="K39">
        <v>104.0515208253137</v>
      </c>
    </row>
    <row r="40" spans="8:11" x14ac:dyDescent="0.35">
      <c r="H40">
        <f t="shared" si="4"/>
        <v>39</v>
      </c>
      <c r="J40">
        <f t="shared" si="1"/>
        <v>39</v>
      </c>
      <c r="K40">
        <v>81.416903084181101</v>
      </c>
    </row>
    <row r="41" spans="8:11" x14ac:dyDescent="0.35">
      <c r="H41">
        <f t="shared" si="4"/>
        <v>40</v>
      </c>
      <c r="J41">
        <f t="shared" si="1"/>
        <v>40</v>
      </c>
      <c r="K41">
        <v>94.462719332890813</v>
      </c>
    </row>
    <row r="42" spans="8:11" x14ac:dyDescent="0.35">
      <c r="H42">
        <f t="shared" si="4"/>
        <v>41</v>
      </c>
      <c r="J42">
        <f t="shared" si="1"/>
        <v>41</v>
      </c>
      <c r="K42">
        <v>120.03517369466394</v>
      </c>
    </row>
    <row r="43" spans="8:11" x14ac:dyDescent="0.35">
      <c r="H43">
        <f t="shared" si="4"/>
        <v>42</v>
      </c>
      <c r="J43">
        <f t="shared" si="1"/>
        <v>42</v>
      </c>
      <c r="K43">
        <v>100.78042057088142</v>
      </c>
    </row>
    <row r="44" spans="8:11" x14ac:dyDescent="0.35">
      <c r="H44">
        <f t="shared" si="4"/>
        <v>43</v>
      </c>
      <c r="J44">
        <f t="shared" si="1"/>
        <v>43</v>
      </c>
      <c r="K44">
        <v>99.101080121301109</v>
      </c>
    </row>
    <row r="45" spans="8:11" x14ac:dyDescent="0.35">
      <c r="H45">
        <f t="shared" si="4"/>
        <v>44</v>
      </c>
      <c r="J45">
        <f t="shared" si="1"/>
        <v>44</v>
      </c>
      <c r="K45">
        <v>106.4781996194332</v>
      </c>
    </row>
    <row r="46" spans="8:11" x14ac:dyDescent="0.35">
      <c r="H46">
        <f t="shared" si="4"/>
        <v>45</v>
      </c>
      <c r="J46">
        <f t="shared" si="1"/>
        <v>45</v>
      </c>
      <c r="K46">
        <v>108.46666925038448</v>
      </c>
    </row>
    <row r="47" spans="8:11" x14ac:dyDescent="0.35">
      <c r="H47">
        <f t="shared" si="4"/>
        <v>46</v>
      </c>
      <c r="J47">
        <f t="shared" si="1"/>
        <v>46</v>
      </c>
      <c r="K47">
        <v>98.653295425959456</v>
      </c>
    </row>
    <row r="48" spans="8:11" x14ac:dyDescent="0.35">
      <c r="H48">
        <f t="shared" si="4"/>
        <v>47</v>
      </c>
      <c r="J48">
        <f t="shared" si="1"/>
        <v>47</v>
      </c>
      <c r="K48">
        <v>101.95586584208003</v>
      </c>
    </row>
    <row r="49" spans="8:11" x14ac:dyDescent="0.35">
      <c r="H49">
        <f t="shared" si="4"/>
        <v>48</v>
      </c>
      <c r="J49">
        <f t="shared" si="1"/>
        <v>48</v>
      </c>
      <c r="K49">
        <v>99.996141320235822</v>
      </c>
    </row>
    <row r="50" spans="8:11" x14ac:dyDescent="0.35">
      <c r="H50">
        <f t="shared" si="4"/>
        <v>49</v>
      </c>
      <c r="J50">
        <f t="shared" si="1"/>
        <v>49</v>
      </c>
      <c r="K50">
        <v>136.51688004569934</v>
      </c>
    </row>
    <row r="51" spans="8:11" x14ac:dyDescent="0.35">
      <c r="H51">
        <f t="shared" si="4"/>
        <v>50</v>
      </c>
      <c r="J51">
        <f t="shared" si="1"/>
        <v>50</v>
      </c>
      <c r="K51">
        <v>115.18053969265532</v>
      </c>
    </row>
    <row r="52" spans="8:11" x14ac:dyDescent="0.35">
      <c r="H52">
        <f t="shared" si="4"/>
        <v>51</v>
      </c>
      <c r="J52">
        <f t="shared" si="1"/>
        <v>51</v>
      </c>
      <c r="K52">
        <v>87.265152852374484</v>
      </c>
    </row>
    <row r="53" spans="8:11" x14ac:dyDescent="0.35">
      <c r="H53">
        <f t="shared" si="4"/>
        <v>52</v>
      </c>
      <c r="J53">
        <f t="shared" si="1"/>
        <v>52</v>
      </c>
      <c r="K53">
        <v>112.73505129764808</v>
      </c>
    </row>
    <row r="54" spans="8:11" x14ac:dyDescent="0.35">
      <c r="H54">
        <f t="shared" si="4"/>
        <v>53</v>
      </c>
      <c r="J54">
        <f t="shared" si="1"/>
        <v>53</v>
      </c>
      <c r="K54">
        <v>87.448283364980156</v>
      </c>
    </row>
    <row r="55" spans="8:11" x14ac:dyDescent="0.35">
      <c r="H55">
        <f t="shared" si="4"/>
        <v>54</v>
      </c>
      <c r="J55">
        <f t="shared" si="1"/>
        <v>54</v>
      </c>
      <c r="K55">
        <v>78.741345575405632</v>
      </c>
    </row>
    <row r="56" spans="8:11" x14ac:dyDescent="0.35">
      <c r="H56">
        <f t="shared" si="4"/>
        <v>55</v>
      </c>
      <c r="J56">
        <f t="shared" si="1"/>
        <v>55</v>
      </c>
      <c r="K56">
        <v>93.232467379595619</v>
      </c>
    </row>
    <row r="57" spans="8:11" x14ac:dyDescent="0.35">
      <c r="H57">
        <f t="shared" si="4"/>
        <v>56</v>
      </c>
      <c r="J57">
        <f t="shared" si="1"/>
        <v>56</v>
      </c>
      <c r="K57">
        <v>112.48456332910956</v>
      </c>
    </row>
    <row r="58" spans="8:11" x14ac:dyDescent="0.35">
      <c r="H58">
        <f t="shared" si="4"/>
        <v>57</v>
      </c>
      <c r="J58">
        <f t="shared" si="1"/>
        <v>57</v>
      </c>
      <c r="K58">
        <v>85.217773381113545</v>
      </c>
    </row>
    <row r="59" spans="8:11" x14ac:dyDescent="0.35">
      <c r="H59">
        <f t="shared" si="4"/>
        <v>58</v>
      </c>
      <c r="J59">
        <f t="shared" si="1"/>
        <v>58</v>
      </c>
      <c r="K59">
        <v>91.769553283562985</v>
      </c>
    </row>
    <row r="60" spans="8:11" x14ac:dyDescent="0.35">
      <c r="H60">
        <f t="shared" si="4"/>
        <v>59</v>
      </c>
      <c r="J60">
        <f t="shared" si="1"/>
        <v>59</v>
      </c>
      <c r="K60">
        <v>92.542820011963926</v>
      </c>
    </row>
    <row r="61" spans="8:11" x14ac:dyDescent="0.35">
      <c r="H61">
        <f t="shared" si="4"/>
        <v>60</v>
      </c>
      <c r="J61">
        <f t="shared" si="1"/>
        <v>60</v>
      </c>
      <c r="K61">
        <v>82.360008381130797</v>
      </c>
    </row>
    <row r="62" spans="8:11" x14ac:dyDescent="0.35">
      <c r="H62">
        <f t="shared" si="4"/>
        <v>61</v>
      </c>
      <c r="J62">
        <f t="shared" si="1"/>
        <v>61</v>
      </c>
      <c r="K62">
        <v>130.89788135996932</v>
      </c>
    </row>
    <row r="63" spans="8:11" x14ac:dyDescent="0.35">
      <c r="H63">
        <f t="shared" si="4"/>
        <v>62</v>
      </c>
      <c r="J63">
        <f t="shared" si="1"/>
        <v>62</v>
      </c>
      <c r="K63">
        <v>115.91116163164841</v>
      </c>
    </row>
    <row r="64" spans="8:11" x14ac:dyDescent="0.35">
      <c r="H64">
        <f t="shared" si="4"/>
        <v>63</v>
      </c>
      <c r="J64">
        <f t="shared" si="1"/>
        <v>63</v>
      </c>
      <c r="K64">
        <v>93.08999721185144</v>
      </c>
    </row>
    <row r="65" spans="8:11" x14ac:dyDescent="0.35">
      <c r="H65">
        <f t="shared" si="4"/>
        <v>64</v>
      </c>
      <c r="J65">
        <f t="shared" si="1"/>
        <v>64</v>
      </c>
      <c r="K65">
        <v>85.191844493612038</v>
      </c>
    </row>
    <row r="66" spans="8:11" x14ac:dyDescent="0.35">
      <c r="H66">
        <f t="shared" si="4"/>
        <v>65</v>
      </c>
      <c r="J66">
        <f t="shared" si="1"/>
        <v>65</v>
      </c>
      <c r="K66">
        <v>127.84664997515452</v>
      </c>
    </row>
    <row r="67" spans="8:11" x14ac:dyDescent="0.35">
      <c r="J67">
        <f t="shared" si="1"/>
        <v>66</v>
      </c>
      <c r="K67">
        <v>99.780724655524253</v>
      </c>
    </row>
    <row r="68" spans="8:11" x14ac:dyDescent="0.35">
      <c r="J68">
        <f t="shared" ref="J68:J131" si="5">J67+1</f>
        <v>67</v>
      </c>
      <c r="K68">
        <v>81.837870645975343</v>
      </c>
    </row>
    <row r="69" spans="8:11" x14ac:dyDescent="0.35">
      <c r="J69">
        <f t="shared" si="5"/>
        <v>68</v>
      </c>
      <c r="K69">
        <v>91.175707269654467</v>
      </c>
    </row>
    <row r="70" spans="8:11" x14ac:dyDescent="0.35">
      <c r="J70">
        <f t="shared" si="5"/>
        <v>69</v>
      </c>
      <c r="K70">
        <v>121.24549539321538</v>
      </c>
    </row>
    <row r="71" spans="8:11" x14ac:dyDescent="0.35">
      <c r="J71">
        <f t="shared" si="5"/>
        <v>70</v>
      </c>
      <c r="K71">
        <v>106.84257820867002</v>
      </c>
    </row>
    <row r="72" spans="8:11" x14ac:dyDescent="0.35">
      <c r="J72">
        <f t="shared" si="5"/>
        <v>71</v>
      </c>
      <c r="K72">
        <v>89.519875403058577</v>
      </c>
    </row>
    <row r="73" spans="8:11" x14ac:dyDescent="0.35">
      <c r="J73">
        <f t="shared" si="5"/>
        <v>72</v>
      </c>
      <c r="K73">
        <v>112.71872570776102</v>
      </c>
    </row>
    <row r="74" spans="8:11" x14ac:dyDescent="0.35">
      <c r="J74">
        <f t="shared" si="5"/>
        <v>73</v>
      </c>
      <c r="K74">
        <v>94.117412944711873</v>
      </c>
    </row>
    <row r="75" spans="8:11" x14ac:dyDescent="0.35">
      <c r="J75">
        <f t="shared" si="5"/>
        <v>74</v>
      </c>
      <c r="K75">
        <v>112.461648720228</v>
      </c>
    </row>
    <row r="76" spans="8:11" x14ac:dyDescent="0.35">
      <c r="J76">
        <f t="shared" si="5"/>
        <v>75</v>
      </c>
      <c r="K76">
        <v>103.01644366862928</v>
      </c>
    </row>
    <row r="77" spans="8:11" x14ac:dyDescent="0.35">
      <c r="J77">
        <f t="shared" si="5"/>
        <v>76</v>
      </c>
      <c r="K77">
        <v>109.1624515865841</v>
      </c>
    </row>
    <row r="78" spans="8:11" x14ac:dyDescent="0.35">
      <c r="J78">
        <f t="shared" si="5"/>
        <v>77</v>
      </c>
      <c r="K78">
        <v>112.46940030538572</v>
      </c>
    </row>
    <row r="79" spans="8:11" x14ac:dyDescent="0.35">
      <c r="J79">
        <f t="shared" si="5"/>
        <v>78</v>
      </c>
      <c r="K79">
        <v>94.678590555042419</v>
      </c>
    </row>
    <row r="80" spans="8:11" x14ac:dyDescent="0.35">
      <c r="J80">
        <f t="shared" si="5"/>
        <v>79</v>
      </c>
      <c r="K80">
        <v>107.87069783740212</v>
      </c>
    </row>
    <row r="81" spans="10:11" x14ac:dyDescent="0.35">
      <c r="J81">
        <f t="shared" si="5"/>
        <v>80</v>
      </c>
      <c r="K81">
        <v>85.754285637940782</v>
      </c>
    </row>
    <row r="82" spans="10:11" x14ac:dyDescent="0.35">
      <c r="J82">
        <f t="shared" si="5"/>
        <v>81</v>
      </c>
      <c r="K82">
        <v>117.64771169719135</v>
      </c>
    </row>
    <row r="83" spans="10:11" x14ac:dyDescent="0.35">
      <c r="J83">
        <f t="shared" si="5"/>
        <v>82</v>
      </c>
      <c r="K83">
        <v>113.14645686460642</v>
      </c>
    </row>
    <row r="84" spans="10:11" x14ac:dyDescent="0.35">
      <c r="J84">
        <f t="shared" si="5"/>
        <v>83</v>
      </c>
      <c r="K84">
        <v>94.527722834210934</v>
      </c>
    </row>
    <row r="85" spans="10:11" x14ac:dyDescent="0.35">
      <c r="J85">
        <f t="shared" si="5"/>
        <v>84</v>
      </c>
      <c r="K85">
        <v>106.08931843746593</v>
      </c>
    </row>
    <row r="86" spans="10:11" x14ac:dyDescent="0.35">
      <c r="J86">
        <f t="shared" si="5"/>
        <v>85</v>
      </c>
      <c r="K86">
        <v>106.50230785769256</v>
      </c>
    </row>
    <row r="87" spans="10:11" x14ac:dyDescent="0.35">
      <c r="J87">
        <f t="shared" si="5"/>
        <v>86</v>
      </c>
      <c r="K87">
        <v>93.758364315273298</v>
      </c>
    </row>
    <row r="88" spans="10:11" x14ac:dyDescent="0.35">
      <c r="J88">
        <f t="shared" si="5"/>
        <v>87</v>
      </c>
      <c r="K88">
        <v>100.90930604299203</v>
      </c>
    </row>
    <row r="89" spans="10:11" x14ac:dyDescent="0.35">
      <c r="J89">
        <f t="shared" si="5"/>
        <v>88</v>
      </c>
      <c r="K89">
        <v>112.76817281710751</v>
      </c>
    </row>
    <row r="90" spans="10:11" x14ac:dyDescent="0.35">
      <c r="J90">
        <f t="shared" si="5"/>
        <v>89</v>
      </c>
      <c r="K90">
        <v>114.8263151456846</v>
      </c>
    </row>
    <row r="91" spans="10:11" x14ac:dyDescent="0.35">
      <c r="J91">
        <f t="shared" si="5"/>
        <v>90</v>
      </c>
      <c r="K91">
        <v>86.534034013443886</v>
      </c>
    </row>
    <row r="92" spans="10:11" x14ac:dyDescent="0.35">
      <c r="J92">
        <f t="shared" si="5"/>
        <v>91</v>
      </c>
      <c r="K92">
        <v>77.707915976337105</v>
      </c>
    </row>
    <row r="93" spans="10:11" x14ac:dyDescent="0.35">
      <c r="J93">
        <f t="shared" si="5"/>
        <v>92</v>
      </c>
      <c r="K93">
        <v>94.779038664095822</v>
      </c>
    </row>
    <row r="94" spans="10:11" x14ac:dyDescent="0.35">
      <c r="J94">
        <f t="shared" si="5"/>
        <v>93</v>
      </c>
      <c r="K94">
        <v>99.2312915318915</v>
      </c>
    </row>
    <row r="95" spans="10:11" x14ac:dyDescent="0.35">
      <c r="J95">
        <f t="shared" si="5"/>
        <v>94</v>
      </c>
      <c r="K95">
        <v>85.86146013001121</v>
      </c>
    </row>
    <row r="96" spans="10:11" x14ac:dyDescent="0.35">
      <c r="J96">
        <f t="shared" si="5"/>
        <v>95</v>
      </c>
      <c r="K96">
        <v>101.87980437858353</v>
      </c>
    </row>
    <row r="97" spans="10:11" x14ac:dyDescent="0.35">
      <c r="J97">
        <f t="shared" si="5"/>
        <v>96</v>
      </c>
      <c r="K97">
        <v>104.54509826302635</v>
      </c>
    </row>
    <row r="98" spans="10:11" x14ac:dyDescent="0.35">
      <c r="J98">
        <f t="shared" si="5"/>
        <v>97</v>
      </c>
      <c r="K98">
        <v>91.672540736166582</v>
      </c>
    </row>
    <row r="99" spans="10:11" x14ac:dyDescent="0.35">
      <c r="J99">
        <f t="shared" si="5"/>
        <v>98</v>
      </c>
      <c r="K99">
        <v>104.53151333188437</v>
      </c>
    </row>
    <row r="100" spans="10:11" x14ac:dyDescent="0.35">
      <c r="J100">
        <f t="shared" si="5"/>
        <v>99</v>
      </c>
      <c r="K100">
        <v>97.446640709955247</v>
      </c>
    </row>
    <row r="101" spans="10:11" x14ac:dyDescent="0.35">
      <c r="J101">
        <f t="shared" si="5"/>
        <v>100</v>
      </c>
      <c r="K101">
        <v>96.627923678468363</v>
      </c>
    </row>
    <row r="102" spans="10:11" x14ac:dyDescent="0.35">
      <c r="J102">
        <f t="shared" si="5"/>
        <v>101</v>
      </c>
      <c r="K102">
        <v>100.74605891123397</v>
      </c>
    </row>
    <row r="103" spans="10:11" x14ac:dyDescent="0.35">
      <c r="J103">
        <f t="shared" si="5"/>
        <v>102</v>
      </c>
      <c r="K103">
        <v>92.423870046973121</v>
      </c>
    </row>
    <row r="104" spans="10:11" x14ac:dyDescent="0.35">
      <c r="J104">
        <f t="shared" si="5"/>
        <v>103</v>
      </c>
      <c r="K104">
        <v>83.314726568817463</v>
      </c>
    </row>
    <row r="105" spans="10:11" x14ac:dyDescent="0.35">
      <c r="J105">
        <f t="shared" si="5"/>
        <v>104</v>
      </c>
      <c r="K105">
        <v>89.8534287232537</v>
      </c>
    </row>
    <row r="106" spans="10:11" x14ac:dyDescent="0.35">
      <c r="J106">
        <f t="shared" si="5"/>
        <v>105</v>
      </c>
      <c r="K106">
        <v>79.120945538886957</v>
      </c>
    </row>
    <row r="107" spans="10:11" x14ac:dyDescent="0.35">
      <c r="J107">
        <f t="shared" si="5"/>
        <v>106</v>
      </c>
      <c r="K107">
        <v>95.196603976897649</v>
      </c>
    </row>
    <row r="108" spans="10:11" x14ac:dyDescent="0.35">
      <c r="J108">
        <f t="shared" si="5"/>
        <v>107</v>
      </c>
      <c r="K108">
        <v>89.827912739633163</v>
      </c>
    </row>
    <row r="109" spans="10:11" x14ac:dyDescent="0.35">
      <c r="J109">
        <f t="shared" si="5"/>
        <v>108</v>
      </c>
      <c r="K109">
        <v>92.140158316424973</v>
      </c>
    </row>
    <row r="110" spans="10:11" x14ac:dyDescent="0.35">
      <c r="J110">
        <f t="shared" si="5"/>
        <v>109</v>
      </c>
      <c r="K110">
        <v>94.101602331806291</v>
      </c>
    </row>
    <row r="111" spans="10:11" x14ac:dyDescent="0.35">
      <c r="J111">
        <f t="shared" si="5"/>
        <v>110</v>
      </c>
      <c r="K111">
        <v>95.672003782528222</v>
      </c>
    </row>
    <row r="112" spans="10:11" x14ac:dyDescent="0.35">
      <c r="J112">
        <f t="shared" si="5"/>
        <v>111</v>
      </c>
      <c r="K112">
        <v>83.958407783184811</v>
      </c>
    </row>
    <row r="113" spans="10:11" x14ac:dyDescent="0.35">
      <c r="J113">
        <f t="shared" si="5"/>
        <v>112</v>
      </c>
      <c r="K113">
        <v>128.53504958165675</v>
      </c>
    </row>
    <row r="114" spans="10:11" x14ac:dyDescent="0.35">
      <c r="J114">
        <f t="shared" si="5"/>
        <v>113</v>
      </c>
      <c r="K114">
        <v>99.738567839729811</v>
      </c>
    </row>
    <row r="115" spans="10:11" x14ac:dyDescent="0.35">
      <c r="J115">
        <f t="shared" si="5"/>
        <v>114</v>
      </c>
      <c r="K115">
        <v>88.237942016149191</v>
      </c>
    </row>
    <row r="116" spans="10:11" x14ac:dyDescent="0.35">
      <c r="J116">
        <f t="shared" si="5"/>
        <v>115</v>
      </c>
      <c r="K116">
        <v>80.48935503774517</v>
      </c>
    </row>
    <row r="117" spans="10:11" x14ac:dyDescent="0.35">
      <c r="J117">
        <f t="shared" si="5"/>
        <v>116</v>
      </c>
      <c r="K117">
        <v>116.89449011466985</v>
      </c>
    </row>
    <row r="118" spans="10:11" x14ac:dyDescent="0.35">
      <c r="J118">
        <f t="shared" si="5"/>
        <v>117</v>
      </c>
      <c r="K118">
        <v>97.347299512923414</v>
      </c>
    </row>
    <row r="119" spans="10:11" x14ac:dyDescent="0.35">
      <c r="J119">
        <f t="shared" si="5"/>
        <v>118</v>
      </c>
      <c r="K119">
        <v>97.500072943070492</v>
      </c>
    </row>
    <row r="120" spans="10:11" x14ac:dyDescent="0.35">
      <c r="J120">
        <f t="shared" si="5"/>
        <v>119</v>
      </c>
      <c r="K120">
        <v>93.912619496217118</v>
      </c>
    </row>
    <row r="121" spans="10:11" x14ac:dyDescent="0.35">
      <c r="J121">
        <f t="shared" si="5"/>
        <v>120</v>
      </c>
      <c r="K121">
        <v>87.406157763133834</v>
      </c>
    </row>
    <row r="122" spans="10:11" x14ac:dyDescent="0.35">
      <c r="J122">
        <f t="shared" si="5"/>
        <v>121</v>
      </c>
      <c r="K122">
        <v>109.94526857687251</v>
      </c>
    </row>
    <row r="123" spans="10:11" x14ac:dyDescent="0.35">
      <c r="J123">
        <f t="shared" si="5"/>
        <v>122</v>
      </c>
      <c r="K123">
        <v>91.784853498828241</v>
      </c>
    </row>
    <row r="124" spans="10:11" x14ac:dyDescent="0.35">
      <c r="J124">
        <f t="shared" si="5"/>
        <v>123</v>
      </c>
      <c r="K124">
        <v>96.06172852659752</v>
      </c>
    </row>
    <row r="125" spans="10:11" x14ac:dyDescent="0.35">
      <c r="J125">
        <f t="shared" si="5"/>
        <v>124</v>
      </c>
      <c r="K125">
        <v>95.947893901713527</v>
      </c>
    </row>
    <row r="126" spans="10:11" x14ac:dyDescent="0.35">
      <c r="J126">
        <f t="shared" si="5"/>
        <v>125</v>
      </c>
      <c r="K126">
        <v>130.32034397007311</v>
      </c>
    </row>
    <row r="127" spans="10:11" x14ac:dyDescent="0.35">
      <c r="J127">
        <f t="shared" si="5"/>
        <v>126</v>
      </c>
      <c r="K127">
        <v>89.854820495627649</v>
      </c>
    </row>
    <row r="128" spans="10:11" x14ac:dyDescent="0.35">
      <c r="J128">
        <f t="shared" si="5"/>
        <v>127</v>
      </c>
      <c r="K128">
        <v>103.31798339651027</v>
      </c>
    </row>
    <row r="129" spans="10:11" x14ac:dyDescent="0.35">
      <c r="J129">
        <f t="shared" si="5"/>
        <v>128</v>
      </c>
      <c r="K129">
        <v>75.232943931534095</v>
      </c>
    </row>
    <row r="130" spans="10:11" x14ac:dyDescent="0.35">
      <c r="J130">
        <f t="shared" si="5"/>
        <v>129</v>
      </c>
      <c r="K130">
        <v>101.23415102133211</v>
      </c>
    </row>
    <row r="131" spans="10:11" x14ac:dyDescent="0.35">
      <c r="J131">
        <f t="shared" si="5"/>
        <v>130</v>
      </c>
      <c r="K131">
        <v>115.26010862416379</v>
      </c>
    </row>
    <row r="132" spans="10:11" x14ac:dyDescent="0.35">
      <c r="J132">
        <f t="shared" ref="J132:J195" si="6">J131+1</f>
        <v>131</v>
      </c>
      <c r="K132">
        <v>91.568740900094141</v>
      </c>
    </row>
    <row r="133" spans="10:11" x14ac:dyDescent="0.35">
      <c r="J133">
        <f t="shared" si="6"/>
        <v>132</v>
      </c>
      <c r="K133">
        <v>87.006263218143545</v>
      </c>
    </row>
    <row r="134" spans="10:11" x14ac:dyDescent="0.35">
      <c r="J134">
        <f t="shared" si="6"/>
        <v>133</v>
      </c>
      <c r="K134">
        <v>103.93004669581575</v>
      </c>
    </row>
    <row r="135" spans="10:11" x14ac:dyDescent="0.35">
      <c r="J135">
        <f t="shared" si="6"/>
        <v>134</v>
      </c>
      <c r="K135">
        <v>104.67996273475862</v>
      </c>
    </row>
    <row r="136" spans="10:11" x14ac:dyDescent="0.35">
      <c r="J136">
        <f t="shared" si="6"/>
        <v>135</v>
      </c>
      <c r="K136">
        <v>104.29883320284391</v>
      </c>
    </row>
    <row r="137" spans="10:11" x14ac:dyDescent="0.35">
      <c r="J137">
        <f t="shared" si="6"/>
        <v>136</v>
      </c>
      <c r="K137">
        <v>86.407757280947962</v>
      </c>
    </row>
    <row r="138" spans="10:11" x14ac:dyDescent="0.35">
      <c r="J138">
        <f t="shared" si="6"/>
        <v>137</v>
      </c>
      <c r="K138">
        <v>95.489582247387261</v>
      </c>
    </row>
    <row r="139" spans="10:11" x14ac:dyDescent="0.35">
      <c r="J139">
        <f t="shared" si="6"/>
        <v>138</v>
      </c>
      <c r="K139">
        <v>102.96969108024257</v>
      </c>
    </row>
    <row r="140" spans="10:11" x14ac:dyDescent="0.35">
      <c r="J140">
        <f t="shared" si="6"/>
        <v>139</v>
      </c>
      <c r="K140">
        <v>108.95986614973165</v>
      </c>
    </row>
    <row r="141" spans="10:11" x14ac:dyDescent="0.35">
      <c r="J141">
        <f t="shared" si="6"/>
        <v>140</v>
      </c>
      <c r="K141">
        <v>81.735487347848789</v>
      </c>
    </row>
    <row r="142" spans="10:11" x14ac:dyDescent="0.35">
      <c r="J142">
        <f t="shared" si="6"/>
        <v>141</v>
      </c>
      <c r="K142">
        <v>120.61168040471547</v>
      </c>
    </row>
    <row r="143" spans="10:11" x14ac:dyDescent="0.35">
      <c r="J143">
        <f t="shared" si="6"/>
        <v>142</v>
      </c>
      <c r="K143">
        <v>91.206499571005935</v>
      </c>
    </row>
    <row r="144" spans="10:11" x14ac:dyDescent="0.35">
      <c r="J144">
        <f t="shared" si="6"/>
        <v>143</v>
      </c>
      <c r="K144">
        <v>105.17703336200775</v>
      </c>
    </row>
    <row r="145" spans="10:11" x14ac:dyDescent="0.35">
      <c r="J145">
        <f t="shared" si="6"/>
        <v>144</v>
      </c>
      <c r="K145">
        <v>104.65487439005437</v>
      </c>
    </row>
    <row r="146" spans="10:11" x14ac:dyDescent="0.35">
      <c r="J146">
        <f t="shared" si="6"/>
        <v>145</v>
      </c>
      <c r="K146">
        <v>99.253956044692558</v>
      </c>
    </row>
    <row r="147" spans="10:11" x14ac:dyDescent="0.35">
      <c r="J147">
        <f t="shared" si="6"/>
        <v>146</v>
      </c>
      <c r="K147">
        <v>85.925623652178189</v>
      </c>
    </row>
    <row r="148" spans="10:11" x14ac:dyDescent="0.35">
      <c r="J148">
        <f t="shared" si="6"/>
        <v>147</v>
      </c>
      <c r="K148">
        <v>95.245302997350635</v>
      </c>
    </row>
    <row r="149" spans="10:11" x14ac:dyDescent="0.35">
      <c r="J149">
        <f t="shared" si="6"/>
        <v>148</v>
      </c>
      <c r="K149">
        <v>105.12259122825768</v>
      </c>
    </row>
    <row r="150" spans="10:11" x14ac:dyDescent="0.35">
      <c r="J150">
        <f t="shared" si="6"/>
        <v>149</v>
      </c>
      <c r="K150">
        <v>110.34988232629556</v>
      </c>
    </row>
    <row r="151" spans="10:11" x14ac:dyDescent="0.35">
      <c r="J151">
        <f t="shared" si="6"/>
        <v>150</v>
      </c>
      <c r="K151">
        <v>100.97709746179218</v>
      </c>
    </row>
    <row r="152" spans="10:11" x14ac:dyDescent="0.35">
      <c r="J152">
        <f t="shared" si="6"/>
        <v>151</v>
      </c>
      <c r="K152">
        <v>100.38530058183534</v>
      </c>
    </row>
    <row r="153" spans="10:11" x14ac:dyDescent="0.35">
      <c r="J153">
        <f t="shared" si="6"/>
        <v>152</v>
      </c>
      <c r="K153">
        <v>94.717248045211235</v>
      </c>
    </row>
    <row r="154" spans="10:11" x14ac:dyDescent="0.35">
      <c r="J154">
        <f t="shared" si="6"/>
        <v>153</v>
      </c>
      <c r="K154">
        <v>108.44306221244895</v>
      </c>
    </row>
    <row r="155" spans="10:11" x14ac:dyDescent="0.35">
      <c r="J155">
        <f t="shared" si="6"/>
        <v>154</v>
      </c>
      <c r="K155">
        <v>99.16634620085415</v>
      </c>
    </row>
    <row r="156" spans="10:11" x14ac:dyDescent="0.35">
      <c r="J156">
        <f t="shared" si="6"/>
        <v>155</v>
      </c>
      <c r="K156">
        <v>121.12261566311359</v>
      </c>
    </row>
    <row r="157" spans="10:11" x14ac:dyDescent="0.35">
      <c r="J157">
        <f t="shared" si="6"/>
        <v>156</v>
      </c>
      <c r="K157">
        <v>106.8044678248598</v>
      </c>
    </row>
    <row r="158" spans="10:11" x14ac:dyDescent="0.35">
      <c r="J158">
        <f t="shared" si="6"/>
        <v>157</v>
      </c>
      <c r="K158">
        <v>95.528460729746811</v>
      </c>
    </row>
    <row r="159" spans="10:11" x14ac:dyDescent="0.35">
      <c r="J159">
        <f t="shared" si="6"/>
        <v>158</v>
      </c>
      <c r="K159">
        <v>117.70063071520862</v>
      </c>
    </row>
    <row r="160" spans="10:11" x14ac:dyDescent="0.35">
      <c r="J160">
        <f t="shared" si="6"/>
        <v>159</v>
      </c>
      <c r="K160">
        <v>112.05711757797442</v>
      </c>
    </row>
    <row r="161" spans="10:11" x14ac:dyDescent="0.35">
      <c r="J161">
        <f t="shared" si="6"/>
        <v>160</v>
      </c>
      <c r="K161">
        <v>88.480669262438653</v>
      </c>
    </row>
    <row r="162" spans="10:11" x14ac:dyDescent="0.35">
      <c r="J162">
        <f t="shared" si="6"/>
        <v>161</v>
      </c>
      <c r="K162">
        <v>107.91136132172807</v>
      </c>
    </row>
    <row r="163" spans="10:11" x14ac:dyDescent="0.35">
      <c r="J163">
        <f t="shared" si="6"/>
        <v>162</v>
      </c>
      <c r="K163">
        <v>98.896175794192288</v>
      </c>
    </row>
    <row r="164" spans="10:11" x14ac:dyDescent="0.35">
      <c r="J164">
        <f t="shared" si="6"/>
        <v>163</v>
      </c>
      <c r="K164">
        <v>94.168112801142769</v>
      </c>
    </row>
    <row r="165" spans="10:11" x14ac:dyDescent="0.35">
      <c r="J165">
        <f t="shared" si="6"/>
        <v>164</v>
      </c>
      <c r="K165">
        <v>93.819872341800689</v>
      </c>
    </row>
    <row r="166" spans="10:11" x14ac:dyDescent="0.35">
      <c r="J166">
        <f t="shared" si="6"/>
        <v>165</v>
      </c>
      <c r="K166">
        <v>90.511444925917246</v>
      </c>
    </row>
    <row r="167" spans="10:11" x14ac:dyDescent="0.35">
      <c r="J167">
        <f t="shared" si="6"/>
        <v>166</v>
      </c>
      <c r="K167">
        <v>114.46090769571656</v>
      </c>
    </row>
    <row r="168" spans="10:11" x14ac:dyDescent="0.35">
      <c r="J168">
        <f t="shared" si="6"/>
        <v>167</v>
      </c>
      <c r="K168">
        <v>96.232482183944569</v>
      </c>
    </row>
    <row r="169" spans="10:11" x14ac:dyDescent="0.35">
      <c r="J169">
        <f t="shared" si="6"/>
        <v>168</v>
      </c>
      <c r="K169">
        <v>115.93221833882066</v>
      </c>
    </row>
    <row r="170" spans="10:11" x14ac:dyDescent="0.35">
      <c r="J170">
        <f t="shared" si="6"/>
        <v>169</v>
      </c>
      <c r="K170">
        <v>85.342318349479186</v>
      </c>
    </row>
    <row r="171" spans="10:11" x14ac:dyDescent="0.35">
      <c r="J171">
        <f t="shared" si="6"/>
        <v>170</v>
      </c>
      <c r="K171">
        <v>107.18218346773891</v>
      </c>
    </row>
    <row r="172" spans="10:11" x14ac:dyDescent="0.35">
      <c r="J172">
        <f t="shared" si="6"/>
        <v>171</v>
      </c>
      <c r="K172">
        <v>94.080429222364373</v>
      </c>
    </row>
    <row r="173" spans="10:11" x14ac:dyDescent="0.35">
      <c r="J173">
        <f t="shared" si="6"/>
        <v>172</v>
      </c>
      <c r="K173">
        <v>91.674120811088827</v>
      </c>
    </row>
    <row r="174" spans="10:11" x14ac:dyDescent="0.35">
      <c r="J174">
        <f t="shared" si="6"/>
        <v>173</v>
      </c>
      <c r="K174">
        <v>101.51663216383528</v>
      </c>
    </row>
    <row r="175" spans="10:11" x14ac:dyDescent="0.35">
      <c r="J175">
        <f t="shared" si="6"/>
        <v>174</v>
      </c>
      <c r="K175">
        <v>102.02846897697118</v>
      </c>
    </row>
    <row r="176" spans="10:11" x14ac:dyDescent="0.35">
      <c r="J176">
        <f t="shared" si="6"/>
        <v>175</v>
      </c>
      <c r="K176">
        <v>86.01345659505894</v>
      </c>
    </row>
    <row r="177" spans="10:11" x14ac:dyDescent="0.35">
      <c r="J177">
        <f t="shared" si="6"/>
        <v>176</v>
      </c>
      <c r="K177">
        <v>115.5994452407039</v>
      </c>
    </row>
    <row r="178" spans="10:11" x14ac:dyDescent="0.35">
      <c r="J178">
        <f t="shared" si="6"/>
        <v>177</v>
      </c>
      <c r="K178">
        <v>89.006515319939027</v>
      </c>
    </row>
    <row r="179" spans="10:11" x14ac:dyDescent="0.35">
      <c r="J179">
        <f t="shared" si="6"/>
        <v>178</v>
      </c>
      <c r="K179">
        <v>84.976560055164754</v>
      </c>
    </row>
    <row r="180" spans="10:11" x14ac:dyDescent="0.35">
      <c r="J180">
        <f t="shared" si="6"/>
        <v>179</v>
      </c>
      <c r="K180">
        <v>112.75514300689701</v>
      </c>
    </row>
    <row r="181" spans="10:11" x14ac:dyDescent="0.35">
      <c r="J181">
        <f t="shared" si="6"/>
        <v>180</v>
      </c>
      <c r="K181">
        <v>117.73844985491809</v>
      </c>
    </row>
    <row r="182" spans="10:11" x14ac:dyDescent="0.35">
      <c r="J182">
        <f t="shared" si="6"/>
        <v>181</v>
      </c>
      <c r="K182">
        <v>88.779972175522516</v>
      </c>
    </row>
    <row r="183" spans="10:11" x14ac:dyDescent="0.35">
      <c r="J183">
        <f t="shared" si="6"/>
        <v>182</v>
      </c>
      <c r="K183">
        <v>81.34540272637642</v>
      </c>
    </row>
    <row r="184" spans="10:11" x14ac:dyDescent="0.35">
      <c r="J184">
        <f t="shared" si="6"/>
        <v>183</v>
      </c>
      <c r="K184">
        <v>97.372952067997659</v>
      </c>
    </row>
    <row r="185" spans="10:11" x14ac:dyDescent="0.35">
      <c r="J185">
        <f t="shared" si="6"/>
        <v>184</v>
      </c>
      <c r="K185">
        <v>101.9458103976953</v>
      </c>
    </row>
    <row r="186" spans="10:11" x14ac:dyDescent="0.35">
      <c r="J186">
        <f t="shared" si="6"/>
        <v>185</v>
      </c>
      <c r="K186">
        <v>108.33395167596919</v>
      </c>
    </row>
    <row r="187" spans="10:11" x14ac:dyDescent="0.35">
      <c r="J187">
        <f t="shared" si="6"/>
        <v>186</v>
      </c>
      <c r="K187">
        <v>86.329488775104664</v>
      </c>
    </row>
    <row r="188" spans="10:11" x14ac:dyDescent="0.35">
      <c r="J188">
        <f t="shared" si="6"/>
        <v>187</v>
      </c>
      <c r="K188">
        <v>112.99677164465315</v>
      </c>
    </row>
    <row r="189" spans="10:11" x14ac:dyDescent="0.35">
      <c r="J189">
        <f t="shared" si="6"/>
        <v>188</v>
      </c>
      <c r="K189">
        <v>75.900641330803353</v>
      </c>
    </row>
    <row r="190" spans="10:11" x14ac:dyDescent="0.35">
      <c r="J190">
        <f t="shared" si="6"/>
        <v>189</v>
      </c>
      <c r="K190">
        <v>110.92252506182761</v>
      </c>
    </row>
    <row r="191" spans="10:11" x14ac:dyDescent="0.35">
      <c r="J191">
        <f t="shared" si="6"/>
        <v>190</v>
      </c>
      <c r="K191">
        <v>105.81416819577169</v>
      </c>
    </row>
    <row r="192" spans="10:11" x14ac:dyDescent="0.35">
      <c r="J192">
        <f t="shared" si="6"/>
        <v>191</v>
      </c>
      <c r="K192">
        <v>101.71988476394834</v>
      </c>
    </row>
    <row r="193" spans="10:11" x14ac:dyDescent="0.35">
      <c r="J193">
        <f t="shared" si="6"/>
        <v>192</v>
      </c>
      <c r="K193">
        <v>94.43329821764452</v>
      </c>
    </row>
    <row r="194" spans="10:11" x14ac:dyDescent="0.35">
      <c r="J194">
        <f t="shared" si="6"/>
        <v>193</v>
      </c>
      <c r="K194">
        <v>85.720583230381564</v>
      </c>
    </row>
    <row r="195" spans="10:11" x14ac:dyDescent="0.35">
      <c r="J195">
        <f t="shared" si="6"/>
        <v>194</v>
      </c>
      <c r="K195">
        <v>94.362306657629347</v>
      </c>
    </row>
    <row r="196" spans="10:11" x14ac:dyDescent="0.35">
      <c r="J196">
        <f t="shared" ref="J196:J201" si="7">J195+1</f>
        <v>195</v>
      </c>
      <c r="K196">
        <v>124.69424836521766</v>
      </c>
    </row>
    <row r="197" spans="10:11" x14ac:dyDescent="0.35">
      <c r="J197">
        <f t="shared" si="7"/>
        <v>196</v>
      </c>
      <c r="K197">
        <v>92.030049600237049</v>
      </c>
    </row>
    <row r="198" spans="10:11" x14ac:dyDescent="0.35">
      <c r="J198">
        <f t="shared" si="7"/>
        <v>197</v>
      </c>
      <c r="K198">
        <v>91.642903732604537</v>
      </c>
    </row>
    <row r="199" spans="10:11" x14ac:dyDescent="0.35">
      <c r="J199">
        <f t="shared" si="7"/>
        <v>198</v>
      </c>
      <c r="K199">
        <v>105.19513884968018</v>
      </c>
    </row>
    <row r="200" spans="10:11" x14ac:dyDescent="0.35">
      <c r="J200">
        <f t="shared" si="7"/>
        <v>199</v>
      </c>
      <c r="K200">
        <v>74.75896769711953</v>
      </c>
    </row>
    <row r="201" spans="10:11" x14ac:dyDescent="0.35">
      <c r="J201">
        <f t="shared" si="7"/>
        <v>200</v>
      </c>
      <c r="K201">
        <v>84.899823527131332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FBAA-C802-44C5-BA42-E1D16E25DBCA}">
  <dimension ref="A1:P201"/>
  <sheetViews>
    <sheetView workbookViewId="0">
      <selection activeCell="E3" sqref="E3"/>
    </sheetView>
  </sheetViews>
  <sheetFormatPr defaultRowHeight="14.5" x14ac:dyDescent="0.35"/>
  <cols>
    <col min="1" max="1" width="11.36328125" customWidth="1"/>
    <col min="2" max="2" width="13.08984375" customWidth="1"/>
    <col min="3" max="3" width="10.7265625" customWidth="1"/>
    <col min="4" max="4" width="16.26953125" customWidth="1"/>
    <col min="5" max="5" width="13.36328125" customWidth="1"/>
    <col min="6" max="6" width="12.453125" customWidth="1"/>
    <col min="7" max="7" width="12.90625" customWidth="1"/>
    <col min="8" max="8" width="4.6328125" customWidth="1"/>
  </cols>
  <sheetData>
    <row r="1" spans="1:16" x14ac:dyDescent="0.35">
      <c r="A1" t="s">
        <v>15</v>
      </c>
      <c r="B1" t="s">
        <v>16</v>
      </c>
      <c r="C1" t="s">
        <v>17</v>
      </c>
      <c r="D1" t="s">
        <v>18</v>
      </c>
      <c r="F1" t="s">
        <v>19</v>
      </c>
      <c r="G1" t="s">
        <v>20</v>
      </c>
      <c r="H1" t="s">
        <v>10</v>
      </c>
      <c r="K1">
        <f ca="1">$G$2</f>
        <v>106.17302467228392</v>
      </c>
    </row>
    <row r="2" spans="1:16" x14ac:dyDescent="0.35">
      <c r="A2">
        <v>300</v>
      </c>
      <c r="B2">
        <v>0.7</v>
      </c>
      <c r="C2">
        <v>10000</v>
      </c>
      <c r="D2">
        <v>0.3</v>
      </c>
      <c r="G2" cm="1">
        <f t="array" aca="1" ref="G2" ca="1">INDEX(G10:G300, MATCH(TRUE, F10:F300 &gt;= $C$2, 0))</f>
        <v>106.17302467228392</v>
      </c>
      <c r="H2">
        <f>ROW()-1</f>
        <v>1</v>
      </c>
      <c r="J2">
        <f>1</f>
        <v>1</v>
      </c>
      <c r="K2">
        <f t="dataTable" ref="K2:K201" dt2D="0" dtr="0" r1="H2" ca="1"/>
        <v>110.75732931935406</v>
      </c>
      <c r="M2" t="s">
        <v>35</v>
      </c>
      <c r="N2" t="s">
        <v>36</v>
      </c>
      <c r="O2" t="s">
        <v>37</v>
      </c>
      <c r="P2" t="s">
        <v>38</v>
      </c>
    </row>
    <row r="3" spans="1:16" x14ac:dyDescent="0.35">
      <c r="A3" t="s">
        <v>28</v>
      </c>
      <c r="J3">
        <f>J2+1</f>
        <v>2</v>
      </c>
      <c r="K3">
        <v>107.41731889416464</v>
      </c>
      <c r="M3">
        <f>AVERAGE(K2:K201)</f>
        <v>98.253761232412586</v>
      </c>
      <c r="N3">
        <f>MIN(K2:K201)</f>
        <v>86.954611964014646</v>
      </c>
      <c r="O3">
        <f>MAX(K2:K201)</f>
        <v>110.75732931935406</v>
      </c>
      <c r="P3">
        <f>_xlfn.STDEV.P(K2:K201)</f>
        <v>5.2037826101981146</v>
      </c>
    </row>
    <row r="4" spans="1:16" x14ac:dyDescent="0.35">
      <c r="A4" t="s">
        <v>21</v>
      </c>
      <c r="B4" t="s">
        <v>22</v>
      </c>
      <c r="C4" t="s">
        <v>23</v>
      </c>
      <c r="D4" t="s">
        <v>24</v>
      </c>
      <c r="J4">
        <f t="shared" ref="J4:J67" si="0">J3+1</f>
        <v>3</v>
      </c>
      <c r="K4">
        <v>104.97261092541466</v>
      </c>
    </row>
    <row r="5" spans="1:16" x14ac:dyDescent="0.35">
      <c r="A5" t="s">
        <v>25</v>
      </c>
      <c r="B5">
        <v>0.6</v>
      </c>
      <c r="C5">
        <v>150</v>
      </c>
      <c r="D5">
        <v>75</v>
      </c>
      <c r="J5">
        <f t="shared" si="0"/>
        <v>4</v>
      </c>
      <c r="K5">
        <v>107.13987100160386</v>
      </c>
    </row>
    <row r="6" spans="1:16" x14ac:dyDescent="0.35">
      <c r="A6" t="s">
        <v>26</v>
      </c>
      <c r="B6">
        <v>0.3</v>
      </c>
      <c r="C6">
        <v>500</v>
      </c>
      <c r="D6">
        <v>200</v>
      </c>
      <c r="J6">
        <f t="shared" si="0"/>
        <v>5</v>
      </c>
      <c r="K6">
        <v>103.00453157355966</v>
      </c>
    </row>
    <row r="7" spans="1:16" x14ac:dyDescent="0.35">
      <c r="A7" t="s">
        <v>27</v>
      </c>
      <c r="B7">
        <v>0.1</v>
      </c>
      <c r="C7">
        <v>1000</v>
      </c>
      <c r="D7">
        <v>500</v>
      </c>
      <c r="J7">
        <f t="shared" si="0"/>
        <v>6</v>
      </c>
      <c r="K7">
        <v>109.87293272634874</v>
      </c>
    </row>
    <row r="8" spans="1:16" x14ac:dyDescent="0.35">
      <c r="J8">
        <f t="shared" si="0"/>
        <v>7</v>
      </c>
      <c r="K8">
        <v>102.66120449179292</v>
      </c>
    </row>
    <row r="9" spans="1:16" x14ac:dyDescent="0.35">
      <c r="A9" t="s">
        <v>29</v>
      </c>
      <c r="B9" t="s">
        <v>23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J9">
        <f t="shared" si="0"/>
        <v>8</v>
      </c>
      <c r="K9">
        <v>107.927238712307</v>
      </c>
    </row>
    <row r="10" spans="1:16" x14ac:dyDescent="0.35">
      <c r="A10" t="str">
        <f ca="1">_xlfn.LET(_xlpm.r, RAND()+ROW()/100000 + $H$2/1000 + $H$2/1000,
 IF(_xlpm.r&lt;$B$5,"Small",
 IF(_xlpm.r&lt;$B$5+$B$6,"Medium","Large")))</f>
        <v>Small</v>
      </c>
      <c r="B10">
        <f ca="1">IF(A10="Small",$C$5,IF(A10="Medium",$C$6,$C$7))</f>
        <v>150</v>
      </c>
      <c r="C10">
        <f ca="1">IF(A10="Small",$D$5,IF(A10="Medium",$D$6,$D$7))</f>
        <v>75</v>
      </c>
      <c r="D10">
        <f ca="1">$B$2 * (1 - $D$2/2 + (RAND()+ROW()/100000 + $H$2/1000 + $H$2/1000) * $D$2)</f>
        <v>0.80254272370363522</v>
      </c>
      <c r="E10">
        <f ca="1">B10 / ($A$2 * D10)</f>
        <v>0.62301979101195004</v>
      </c>
      <c r="F10">
        <f ca="1">C10</f>
        <v>75</v>
      </c>
      <c r="G10">
        <f ca="1">E10</f>
        <v>0.62301979101195004</v>
      </c>
      <c r="J10">
        <f t="shared" si="0"/>
        <v>9</v>
      </c>
      <c r="K10">
        <v>105.69806077366235</v>
      </c>
    </row>
    <row r="11" spans="1:16" x14ac:dyDescent="0.35">
      <c r="A11" t="str">
        <f ca="1">_xlfn.LET(_xlpm.r, RAND()+ROW()/100000 + $H$2/1000 + $H$2/1000,
 IF(_xlpm.r&lt;$B$5,"Small",
 IF(_xlpm.r&lt;$B$5+$B$6,"Medium","Large")))</f>
        <v>Small</v>
      </c>
      <c r="B11">
        <f ca="1">IF(A11="Small",$C$5,IF(A11="Medium",$C$6,$C$7))</f>
        <v>150</v>
      </c>
      <c r="C11">
        <f ca="1">IF(A11="Small",$D$5,IF(A11="Medium",$D$6,$D$7))</f>
        <v>75</v>
      </c>
      <c r="D11">
        <f ca="1">$B$2 * (1 - $D$2/2 + (RAND()+ROW()/100000 + $H$2/1000 + $H$2/1000) * $D$2)</f>
        <v>0.60769539122341854</v>
      </c>
      <c r="E11">
        <f ca="1">B11 / ($A$2 * D11)</f>
        <v>0.82278063520178246</v>
      </c>
      <c r="F11">
        <f ca="1">F10 + C11</f>
        <v>150</v>
      </c>
      <c r="G11">
        <f ca="1">G10 + E11</f>
        <v>1.4458004262137325</v>
      </c>
      <c r="J11">
        <f t="shared" si="0"/>
        <v>10</v>
      </c>
      <c r="K11">
        <v>105.56425045832125</v>
      </c>
    </row>
    <row r="12" spans="1:16" x14ac:dyDescent="0.35">
      <c r="A12" t="str">
        <f ca="1">_xlfn.LET(_xlpm.r, RAND()+ROW()/100000 + $H$2/1000 + $H$2/1000,
 IF(_xlpm.r&lt;$B$5,"Small",
 IF(_xlpm.r&lt;$B$5+$B$6,"Medium","Large")))</f>
        <v>Small</v>
      </c>
      <c r="B12">
        <f t="shared" ref="B12:B75" ca="1" si="1">IF(A12="Small",$C$5,IF(A12="Medium",$C$6,$C$7))</f>
        <v>150</v>
      </c>
      <c r="C12">
        <f t="shared" ref="C12:C18" ca="1" si="2">IF(A12="Small",$D$5,IF(A12="Medium",$D$6,$D$7))</f>
        <v>75</v>
      </c>
      <c r="D12">
        <f ca="1">$B$2 * (1 - $D$2/2 + (RAND()+ROW()/100000 + $H$2/1000 + $H$2/1000) * $D$2)</f>
        <v>0.62957858528882693</v>
      </c>
      <c r="E12">
        <f t="shared" ref="E12:E18" ca="1" si="3">B12 / ($A$2 * D12)</f>
        <v>0.79418203173257362</v>
      </c>
      <c r="F12">
        <f t="shared" ref="F12:F18" ca="1" si="4">F11 + C12</f>
        <v>225</v>
      </c>
      <c r="G12">
        <f t="shared" ref="G12:G18" ca="1" si="5">G11 + E12</f>
        <v>2.2399824579463061</v>
      </c>
      <c r="J12">
        <f t="shared" si="0"/>
        <v>11</v>
      </c>
      <c r="K12">
        <v>101.09876070102648</v>
      </c>
    </row>
    <row r="13" spans="1:16" x14ac:dyDescent="0.35">
      <c r="A13" t="str">
        <f ca="1">_xlfn.LET(_xlpm.r, RAND()+ROW()/100000 + $H$2/1000 + $H$2/1000,
 IF(_xlpm.r&lt;$B$5,"Small",
 IF(_xlpm.r&lt;$B$5+$B$6,"Medium","Large")))</f>
        <v>Medium</v>
      </c>
      <c r="B13">
        <f t="shared" ca="1" si="1"/>
        <v>500</v>
      </c>
      <c r="C13">
        <f t="shared" ca="1" si="2"/>
        <v>200</v>
      </c>
      <c r="D13">
        <f ca="1">$B$2 * (1 - $D$2/2 + (RAND()+ROW()/100000 + $H$2/1000 + $H$2/1000) * $D$2)</f>
        <v>0.65952625892930916</v>
      </c>
      <c r="E13">
        <f t="shared" ca="1" si="3"/>
        <v>2.5270664270022749</v>
      </c>
      <c r="F13">
        <f t="shared" ca="1" si="4"/>
        <v>425</v>
      </c>
      <c r="G13">
        <f t="shared" ca="1" si="5"/>
        <v>4.767048884948581</v>
      </c>
      <c r="J13">
        <f t="shared" si="0"/>
        <v>12</v>
      </c>
      <c r="K13">
        <v>107.60600638657235</v>
      </c>
    </row>
    <row r="14" spans="1:16" x14ac:dyDescent="0.35">
      <c r="A14" t="str">
        <f ca="1">_xlfn.LET(_xlpm.r, RAND()+ROW()/100000 + $H$2/1000 + $H$2/1000,
 IF(_xlpm.r&lt;$B$5,"Small",
 IF(_xlpm.r&lt;$B$5+$B$6,"Medium","Large")))</f>
        <v>Medium</v>
      </c>
      <c r="B14">
        <f t="shared" ca="1" si="1"/>
        <v>500</v>
      </c>
      <c r="C14">
        <f t="shared" ca="1" si="2"/>
        <v>200</v>
      </c>
      <c r="D14">
        <f ca="1">$B$2 * (1 - $D$2/2 + (RAND()+ROW()/100000 + $H$2/1000 + $H$2/1000) * $D$2)</f>
        <v>0.63820624244179569</v>
      </c>
      <c r="E14">
        <f t="shared" ca="1" si="3"/>
        <v>2.6114859990869905</v>
      </c>
      <c r="F14">
        <f t="shared" ca="1" si="4"/>
        <v>625</v>
      </c>
      <c r="G14">
        <f t="shared" ca="1" si="5"/>
        <v>7.378534884035572</v>
      </c>
      <c r="J14">
        <f t="shared" si="0"/>
        <v>13</v>
      </c>
      <c r="K14">
        <v>102.31975573737816</v>
      </c>
    </row>
    <row r="15" spans="1:16" x14ac:dyDescent="0.35">
      <c r="A15" t="str">
        <f ca="1">_xlfn.LET(_xlpm.r, RAND()+ROW()/100000 + $H$2/1000 + $H$2/1000,
 IF(_xlpm.r&lt;$B$5,"Small",
 IF(_xlpm.r&lt;$B$5+$B$6,"Medium","Large")))</f>
        <v>Medium</v>
      </c>
      <c r="B15">
        <f t="shared" ca="1" si="1"/>
        <v>500</v>
      </c>
      <c r="C15">
        <f t="shared" ca="1" si="2"/>
        <v>200</v>
      </c>
      <c r="D15">
        <f ca="1">$B$2 * (1 - $D$2/2 + (RAND()+ROW()/100000 + $H$2/1000 + $H$2/1000) * $D$2)</f>
        <v>0.80541980227901078</v>
      </c>
      <c r="E15">
        <f t="shared" ca="1" si="3"/>
        <v>2.0693142407855847</v>
      </c>
      <c r="F15">
        <f t="shared" ca="1" si="4"/>
        <v>825</v>
      </c>
      <c r="G15">
        <f t="shared" ca="1" si="5"/>
        <v>9.4478491248211576</v>
      </c>
      <c r="J15">
        <f t="shared" si="0"/>
        <v>14</v>
      </c>
      <c r="K15">
        <v>104.37884948891569</v>
      </c>
    </row>
    <row r="16" spans="1:16" x14ac:dyDescent="0.35">
      <c r="A16" t="str">
        <f ca="1">_xlfn.LET(_xlpm.r, RAND()+ROW()/100000 + $H$2/1000 + $H$2/1000,
 IF(_xlpm.r&lt;$B$5,"Small",
 IF(_xlpm.r&lt;$B$5+$B$6,"Medium","Large")))</f>
        <v>Medium</v>
      </c>
      <c r="B16">
        <f t="shared" ca="1" si="1"/>
        <v>500</v>
      </c>
      <c r="C16">
        <f t="shared" ca="1" si="2"/>
        <v>200</v>
      </c>
      <c r="D16">
        <f ca="1">$B$2 * (1 - $D$2/2 + (RAND()+ROW()/100000 + $H$2/1000 + $H$2/1000) * $D$2)</f>
        <v>0.64525184249548562</v>
      </c>
      <c r="E16">
        <f t="shared" ca="1" si="3"/>
        <v>2.5829707982249226</v>
      </c>
      <c r="F16">
        <f t="shared" ca="1" si="4"/>
        <v>1025</v>
      </c>
      <c r="G16">
        <f t="shared" ca="1" si="5"/>
        <v>12.03081992304608</v>
      </c>
      <c r="J16">
        <f t="shared" si="0"/>
        <v>15</v>
      </c>
      <c r="K16">
        <v>105.49873156443373</v>
      </c>
    </row>
    <row r="17" spans="1:11" x14ac:dyDescent="0.35">
      <c r="A17" t="str">
        <f ca="1">_xlfn.LET(_xlpm.r, RAND()+ROW()/100000 + $H$2/1000 + $H$2/1000,
 IF(_xlpm.r&lt;$B$5,"Small",
 IF(_xlpm.r&lt;$B$5+$B$6,"Medium","Large")))</f>
        <v>Small</v>
      </c>
      <c r="B17">
        <f t="shared" ca="1" si="1"/>
        <v>150</v>
      </c>
      <c r="C17">
        <f t="shared" ca="1" si="2"/>
        <v>75</v>
      </c>
      <c r="D17">
        <f ca="1">$B$2 * (1 - $D$2/2 + (RAND()+ROW()/100000 + $H$2/1000 + $H$2/1000) * $D$2)</f>
        <v>0.69709613452407804</v>
      </c>
      <c r="E17">
        <f t="shared" ca="1" si="3"/>
        <v>0.71726118570627329</v>
      </c>
      <c r="F17">
        <f t="shared" ca="1" si="4"/>
        <v>1100</v>
      </c>
      <c r="G17">
        <f t="shared" ca="1" si="5"/>
        <v>12.748081108752354</v>
      </c>
      <c r="J17">
        <f t="shared" si="0"/>
        <v>16</v>
      </c>
      <c r="K17">
        <v>105.33224520741012</v>
      </c>
    </row>
    <row r="18" spans="1:11" x14ac:dyDescent="0.35">
      <c r="A18" t="str">
        <f ca="1">_xlfn.LET(_xlpm.r, RAND()+ROW()/100000 + $H$2/1000 + $H$2/1000,
 IF(_xlpm.r&lt;$B$5,"Small",
 IF(_xlpm.r&lt;$B$5+$B$6,"Medium","Large")))</f>
        <v>Large</v>
      </c>
      <c r="B18">
        <f t="shared" ca="1" si="1"/>
        <v>1000</v>
      </c>
      <c r="C18">
        <f t="shared" ca="1" si="2"/>
        <v>500</v>
      </c>
      <c r="D18">
        <f ca="1">$B$2 * (1 - $D$2/2 + (RAND()+ROW()/100000 + $H$2/1000 + $H$2/1000) * $D$2)</f>
        <v>0.68558731304282527</v>
      </c>
      <c r="E18">
        <f t="shared" ca="1" si="3"/>
        <v>4.8620114023684042</v>
      </c>
      <c r="F18">
        <f t="shared" ca="1" si="4"/>
        <v>1600</v>
      </c>
      <c r="G18">
        <f t="shared" ca="1" si="5"/>
        <v>17.610092511120758</v>
      </c>
      <c r="J18">
        <f t="shared" si="0"/>
        <v>17</v>
      </c>
      <c r="K18">
        <v>100.64636224084101</v>
      </c>
    </row>
    <row r="19" spans="1:11" x14ac:dyDescent="0.35">
      <c r="A19" t="str">
        <f ca="1">_xlfn.LET(_xlpm.r, RAND()+ROW()/100000 + $H$2/1000 + $H$2/1000,
 IF(_xlpm.r&lt;$B$5,"Small",
 IF(_xlpm.r&lt;$B$5+$B$6,"Medium","Large")))</f>
        <v>Small</v>
      </c>
      <c r="B19">
        <f t="shared" ca="1" si="1"/>
        <v>150</v>
      </c>
      <c r="C19">
        <f t="shared" ref="C19:C82" ca="1" si="6">IF(A19="Small",$D$5,IF(A19="Medium",$D$6,$D$7))</f>
        <v>75</v>
      </c>
      <c r="D19">
        <f ca="1">$B$2 * (1 - $D$2/2 + (RAND()+ROW()/100000 + $H$2/1000 + $H$2/1000) * $D$2)</f>
        <v>0.6492439308186273</v>
      </c>
      <c r="E19">
        <f t="shared" ref="E19:E82" ca="1" si="7">B19 / ($A$2 * D19)</f>
        <v>0.77012656763622478</v>
      </c>
      <c r="F19">
        <f t="shared" ref="F19:F82" ca="1" si="8">F18 + C19</f>
        <v>1675</v>
      </c>
      <c r="G19">
        <f t="shared" ref="G19:G82" ca="1" si="9">G18 + E19</f>
        <v>18.380219078756983</v>
      </c>
      <c r="J19">
        <f t="shared" si="0"/>
        <v>18</v>
      </c>
      <c r="K19">
        <v>105.24453201696826</v>
      </c>
    </row>
    <row r="20" spans="1:11" x14ac:dyDescent="0.35">
      <c r="A20" t="str">
        <f ca="1">_xlfn.LET(_xlpm.r, RAND()+ROW()/100000 + $H$2/1000 + $H$2/1000,
 IF(_xlpm.r&lt;$B$5,"Small",
 IF(_xlpm.r&lt;$B$5+$B$6,"Medium","Large")))</f>
        <v>Small</v>
      </c>
      <c r="B20">
        <f t="shared" ca="1" si="1"/>
        <v>150</v>
      </c>
      <c r="C20">
        <f t="shared" ca="1" si="6"/>
        <v>75</v>
      </c>
      <c r="D20">
        <f ca="1">$B$2 * (1 - $D$2/2 + (RAND()+ROW()/100000 + $H$2/1000 + $H$2/1000) * $D$2)</f>
        <v>0.67223313218372494</v>
      </c>
      <c r="E20">
        <f t="shared" ca="1" si="7"/>
        <v>0.74378958141466212</v>
      </c>
      <c r="F20">
        <f t="shared" ca="1" si="8"/>
        <v>1750</v>
      </c>
      <c r="G20">
        <f t="shared" ca="1" si="9"/>
        <v>19.124008660171647</v>
      </c>
      <c r="J20">
        <f t="shared" si="0"/>
        <v>19</v>
      </c>
      <c r="K20">
        <v>106.59654311990684</v>
      </c>
    </row>
    <row r="21" spans="1:11" x14ac:dyDescent="0.35">
      <c r="A21" t="str">
        <f ca="1">_xlfn.LET(_xlpm.r, RAND()+ROW()/100000 + $H$2/1000 + $H$2/1000,
 IF(_xlpm.r&lt;$B$5,"Small",
 IF(_xlpm.r&lt;$B$5+$B$6,"Medium","Large")))</f>
        <v>Small</v>
      </c>
      <c r="B21">
        <f t="shared" ca="1" si="1"/>
        <v>150</v>
      </c>
      <c r="C21">
        <f t="shared" ca="1" si="6"/>
        <v>75</v>
      </c>
      <c r="D21">
        <f ca="1">$B$2 * (1 - $D$2/2 + (RAND()+ROW()/100000 + $H$2/1000 + $H$2/1000) * $D$2)</f>
        <v>0.79720341029180497</v>
      </c>
      <c r="E21">
        <f t="shared" ca="1" si="7"/>
        <v>0.62719250011359351</v>
      </c>
      <c r="F21">
        <f t="shared" ca="1" si="8"/>
        <v>1825</v>
      </c>
      <c r="G21">
        <f t="shared" ca="1" si="9"/>
        <v>19.751201160285241</v>
      </c>
      <c r="J21">
        <f t="shared" si="0"/>
        <v>20</v>
      </c>
      <c r="K21">
        <v>103.87321842537359</v>
      </c>
    </row>
    <row r="22" spans="1:11" x14ac:dyDescent="0.35">
      <c r="A22" t="str">
        <f ca="1">_xlfn.LET(_xlpm.r, RAND()+ROW()/100000 + $H$2/1000 + $H$2/1000,
 IF(_xlpm.r&lt;$B$5,"Small",
 IF(_xlpm.r&lt;$B$5+$B$6,"Medium","Large")))</f>
        <v>Small</v>
      </c>
      <c r="B22">
        <f t="shared" ca="1" si="1"/>
        <v>150</v>
      </c>
      <c r="C22">
        <f t="shared" ca="1" si="6"/>
        <v>75</v>
      </c>
      <c r="D22">
        <f ca="1">$B$2 * (1 - $D$2/2 + (RAND()+ROW()/100000 + $H$2/1000 + $H$2/1000) * $D$2)</f>
        <v>0.61549969329872301</v>
      </c>
      <c r="E22">
        <f t="shared" ca="1" si="7"/>
        <v>0.81234808959901939</v>
      </c>
      <c r="F22">
        <f t="shared" ca="1" si="8"/>
        <v>1900</v>
      </c>
      <c r="G22">
        <f t="shared" ca="1" si="9"/>
        <v>20.563549249884261</v>
      </c>
      <c r="J22">
        <f t="shared" si="0"/>
        <v>21</v>
      </c>
      <c r="K22">
        <v>108.35664586968272</v>
      </c>
    </row>
    <row r="23" spans="1:11" x14ac:dyDescent="0.35">
      <c r="A23" t="str">
        <f ca="1">_xlfn.LET(_xlpm.r, RAND()+ROW()/100000 + $H$2/1000 + $H$2/1000,
 IF(_xlpm.r&lt;$B$5,"Small",
 IF(_xlpm.r&lt;$B$5+$B$6,"Medium","Large")))</f>
        <v>Small</v>
      </c>
      <c r="B23">
        <f t="shared" ca="1" si="1"/>
        <v>150</v>
      </c>
      <c r="C23">
        <f t="shared" ca="1" si="6"/>
        <v>75</v>
      </c>
      <c r="D23">
        <f ca="1">$B$2 * (1 - $D$2/2 + (RAND()+ROW()/100000 + $H$2/1000 + $H$2/1000) * $D$2)</f>
        <v>0.68135424326034877</v>
      </c>
      <c r="E23">
        <f t="shared" ca="1" si="7"/>
        <v>0.73383266479335274</v>
      </c>
      <c r="F23">
        <f t="shared" ca="1" si="8"/>
        <v>1975</v>
      </c>
      <c r="G23">
        <f t="shared" ca="1" si="9"/>
        <v>21.297381914677615</v>
      </c>
      <c r="J23">
        <f t="shared" si="0"/>
        <v>22</v>
      </c>
      <c r="K23">
        <v>99.553190627627458</v>
      </c>
    </row>
    <row r="24" spans="1:11" x14ac:dyDescent="0.35">
      <c r="A24" t="str">
        <f ca="1">_xlfn.LET(_xlpm.r, RAND()+ROW()/100000 + $H$2/1000 + $H$2/1000,
 IF(_xlpm.r&lt;$B$5,"Small",
 IF(_xlpm.r&lt;$B$5+$B$6,"Medium","Large")))</f>
        <v>Large</v>
      </c>
      <c r="B24">
        <f t="shared" ca="1" si="1"/>
        <v>1000</v>
      </c>
      <c r="C24">
        <f t="shared" ca="1" si="6"/>
        <v>500</v>
      </c>
      <c r="D24">
        <f ca="1">$B$2 * (1 - $D$2/2 + (RAND()+ROW()/100000 + $H$2/1000 + $H$2/1000) * $D$2)</f>
        <v>0.63902456477782166</v>
      </c>
      <c r="E24">
        <f t="shared" ca="1" si="7"/>
        <v>5.2162835625767823</v>
      </c>
      <c r="F24">
        <f t="shared" ca="1" si="8"/>
        <v>2475</v>
      </c>
      <c r="G24">
        <f t="shared" ca="1" si="9"/>
        <v>26.513665477254399</v>
      </c>
      <c r="J24">
        <f t="shared" si="0"/>
        <v>23</v>
      </c>
      <c r="K24">
        <v>110.50784763657612</v>
      </c>
    </row>
    <row r="25" spans="1:11" x14ac:dyDescent="0.35">
      <c r="A25" t="str">
        <f ca="1">_xlfn.LET(_xlpm.r, RAND()+ROW()/100000 + $H$2/1000 + $H$2/1000,
 IF(_xlpm.r&lt;$B$5,"Small",
 IF(_xlpm.r&lt;$B$5+$B$6,"Medium","Large")))</f>
        <v>Large</v>
      </c>
      <c r="B25">
        <f t="shared" ca="1" si="1"/>
        <v>1000</v>
      </c>
      <c r="C25">
        <f t="shared" ca="1" si="6"/>
        <v>500</v>
      </c>
      <c r="D25">
        <f ca="1">$B$2 * (1 - $D$2/2 + (RAND()+ROW()/100000 + $H$2/1000 + $H$2/1000) * $D$2)</f>
        <v>0.78760557130785436</v>
      </c>
      <c r="E25">
        <f t="shared" ca="1" si="7"/>
        <v>4.2322368641935633</v>
      </c>
      <c r="F25">
        <f t="shared" ca="1" si="8"/>
        <v>2975</v>
      </c>
      <c r="G25">
        <f t="shared" ca="1" si="9"/>
        <v>30.745902341447962</v>
      </c>
      <c r="J25">
        <f t="shared" si="0"/>
        <v>24</v>
      </c>
      <c r="K25">
        <v>106.00357330231553</v>
      </c>
    </row>
    <row r="26" spans="1:11" x14ac:dyDescent="0.35">
      <c r="A26" t="str">
        <f ca="1">_xlfn.LET(_xlpm.r, RAND()+ROW()/100000 + $H$2/1000 + $H$2/1000,
 IF(_xlpm.r&lt;$B$5,"Small",
 IF(_xlpm.r&lt;$B$5+$B$6,"Medium","Large")))</f>
        <v>Small</v>
      </c>
      <c r="B26">
        <f t="shared" ca="1" si="1"/>
        <v>150</v>
      </c>
      <c r="C26">
        <f t="shared" ca="1" si="6"/>
        <v>75</v>
      </c>
      <c r="D26">
        <f ca="1">$B$2 * (1 - $D$2/2 + (RAND()+ROW()/100000 + $H$2/1000 + $H$2/1000) * $D$2)</f>
        <v>0.74524035742034389</v>
      </c>
      <c r="E26">
        <f t="shared" ca="1" si="7"/>
        <v>0.67092448096981017</v>
      </c>
      <c r="F26">
        <f t="shared" ca="1" si="8"/>
        <v>3050</v>
      </c>
      <c r="G26">
        <f t="shared" ca="1" si="9"/>
        <v>31.416826822417772</v>
      </c>
      <c r="J26">
        <f t="shared" si="0"/>
        <v>25</v>
      </c>
      <c r="K26">
        <v>105.63622731609972</v>
      </c>
    </row>
    <row r="27" spans="1:11" x14ac:dyDescent="0.35">
      <c r="A27" t="str">
        <f ca="1">_xlfn.LET(_xlpm.r, RAND()+ROW()/100000 + $H$2/1000 + $H$2/1000,
 IF(_xlpm.r&lt;$B$5,"Small",
 IF(_xlpm.r&lt;$B$5+$B$6,"Medium","Large")))</f>
        <v>Large</v>
      </c>
      <c r="B27">
        <f t="shared" ca="1" si="1"/>
        <v>1000</v>
      </c>
      <c r="C27">
        <f t="shared" ca="1" si="6"/>
        <v>500</v>
      </c>
      <c r="D27">
        <f ca="1">$B$2 * (1 - $D$2/2 + (RAND()+ROW()/100000 + $H$2/1000 + $H$2/1000) * $D$2)</f>
        <v>0.68678499003144211</v>
      </c>
      <c r="E27">
        <f t="shared" ca="1" si="7"/>
        <v>4.8535325927561805</v>
      </c>
      <c r="F27">
        <f t="shared" ca="1" si="8"/>
        <v>3550</v>
      </c>
      <c r="G27">
        <f t="shared" ca="1" si="9"/>
        <v>36.270359415173949</v>
      </c>
      <c r="J27">
        <f t="shared" si="0"/>
        <v>26</v>
      </c>
      <c r="K27">
        <v>105.5520435612377</v>
      </c>
    </row>
    <row r="28" spans="1:11" x14ac:dyDescent="0.35">
      <c r="A28" t="str">
        <f ca="1">_xlfn.LET(_xlpm.r, RAND()+ROW()/100000 + $H$2/1000 + $H$2/1000,
 IF(_xlpm.r&lt;$B$5,"Small",
 IF(_xlpm.r&lt;$B$5+$B$6,"Medium","Large")))</f>
        <v>Small</v>
      </c>
      <c r="B28">
        <f t="shared" ca="1" si="1"/>
        <v>150</v>
      </c>
      <c r="C28">
        <f t="shared" ca="1" si="6"/>
        <v>75</v>
      </c>
      <c r="D28">
        <f ca="1">$B$2 * (1 - $D$2/2 + (RAND()+ROW()/100000 + $H$2/1000 + $H$2/1000) * $D$2)</f>
        <v>0.75489445393837751</v>
      </c>
      <c r="E28">
        <f t="shared" ca="1" si="7"/>
        <v>0.66234424877734666</v>
      </c>
      <c r="F28">
        <f t="shared" ca="1" si="8"/>
        <v>3625</v>
      </c>
      <c r="G28">
        <f t="shared" ca="1" si="9"/>
        <v>36.932703663951294</v>
      </c>
      <c r="J28">
        <f t="shared" si="0"/>
        <v>27</v>
      </c>
      <c r="K28">
        <v>101.74485598818713</v>
      </c>
    </row>
    <row r="29" spans="1:11" x14ac:dyDescent="0.35">
      <c r="A29" t="str">
        <f ca="1">_xlfn.LET(_xlpm.r, RAND()+ROW()/100000 + $H$2/1000 + $H$2/1000,
 IF(_xlpm.r&lt;$B$5,"Small",
 IF(_xlpm.r&lt;$B$5+$B$6,"Medium","Large")))</f>
        <v>Large</v>
      </c>
      <c r="B29">
        <f t="shared" ca="1" si="1"/>
        <v>1000</v>
      </c>
      <c r="C29">
        <f t="shared" ca="1" si="6"/>
        <v>500</v>
      </c>
      <c r="D29">
        <f ca="1">$B$2 * (1 - $D$2/2 + (RAND()+ROW()/100000 + $H$2/1000 + $H$2/1000) * $D$2)</f>
        <v>0.62448051911615021</v>
      </c>
      <c r="E29">
        <f t="shared" ca="1" si="7"/>
        <v>5.3377699244343448</v>
      </c>
      <c r="F29">
        <f t="shared" ca="1" si="8"/>
        <v>4125</v>
      </c>
      <c r="G29">
        <f t="shared" ca="1" si="9"/>
        <v>42.270473588385642</v>
      </c>
      <c r="J29">
        <f t="shared" si="0"/>
        <v>28</v>
      </c>
      <c r="K29">
        <v>105.40064897156826</v>
      </c>
    </row>
    <row r="30" spans="1:11" x14ac:dyDescent="0.35">
      <c r="A30" t="str">
        <f ca="1">_xlfn.LET(_xlpm.r, RAND()+ROW()/100000 + $H$2/1000 + $H$2/1000,
 IF(_xlpm.r&lt;$B$5,"Small",
 IF(_xlpm.r&lt;$B$5+$B$6,"Medium","Large")))</f>
        <v>Small</v>
      </c>
      <c r="B30">
        <f t="shared" ca="1" si="1"/>
        <v>150</v>
      </c>
      <c r="C30">
        <f t="shared" ca="1" si="6"/>
        <v>75</v>
      </c>
      <c r="D30">
        <f ca="1">$B$2 * (1 - $D$2/2 + (RAND()+ROW()/100000 + $H$2/1000 + $H$2/1000) * $D$2)</f>
        <v>0.62615795800555174</v>
      </c>
      <c r="E30">
        <f t="shared" ca="1" si="7"/>
        <v>0.79852055476961115</v>
      </c>
      <c r="F30">
        <f t="shared" ca="1" si="8"/>
        <v>4200</v>
      </c>
      <c r="G30">
        <f t="shared" ca="1" si="9"/>
        <v>43.068994143155251</v>
      </c>
      <c r="J30">
        <f t="shared" si="0"/>
        <v>29</v>
      </c>
      <c r="K30">
        <v>102.44107461407776</v>
      </c>
    </row>
    <row r="31" spans="1:11" x14ac:dyDescent="0.35">
      <c r="A31" t="str">
        <f ca="1">_xlfn.LET(_xlpm.r, RAND()+ROW()/100000 + $H$2/1000 + $H$2/1000,
 IF(_xlpm.r&lt;$B$5,"Small",
 IF(_xlpm.r&lt;$B$5+$B$6,"Medium","Large")))</f>
        <v>Medium</v>
      </c>
      <c r="B31">
        <f t="shared" ca="1" si="1"/>
        <v>500</v>
      </c>
      <c r="C31">
        <f t="shared" ca="1" si="6"/>
        <v>200</v>
      </c>
      <c r="D31">
        <f ca="1">$B$2 * (1 - $D$2/2 + (RAND()+ROW()/100000 + $H$2/1000 + $H$2/1000) * $D$2)</f>
        <v>0.65974356724148542</v>
      </c>
      <c r="E31">
        <f t="shared" ca="1" si="7"/>
        <v>2.5262340542937314</v>
      </c>
      <c r="F31">
        <f t="shared" ca="1" si="8"/>
        <v>4400</v>
      </c>
      <c r="G31">
        <f t="shared" ca="1" si="9"/>
        <v>45.595228197448982</v>
      </c>
      <c r="J31">
        <f t="shared" si="0"/>
        <v>30</v>
      </c>
      <c r="K31">
        <v>102.88421086685499</v>
      </c>
    </row>
    <row r="32" spans="1:11" x14ac:dyDescent="0.35">
      <c r="A32" t="str">
        <f ca="1">_xlfn.LET(_xlpm.r, RAND()+ROW()/100000 + $H$2/1000 + $H$2/1000,
 IF(_xlpm.r&lt;$B$5,"Small",
 IF(_xlpm.r&lt;$B$5+$B$6,"Medium","Large")))</f>
        <v>Small</v>
      </c>
      <c r="B32">
        <f t="shared" ca="1" si="1"/>
        <v>150</v>
      </c>
      <c r="C32">
        <f t="shared" ca="1" si="6"/>
        <v>75</v>
      </c>
      <c r="D32">
        <f ca="1">$B$2 * (1 - $D$2/2 + (RAND()+ROW()/100000 + $H$2/1000 + $H$2/1000) * $D$2)</f>
        <v>0.61574449525019592</v>
      </c>
      <c r="E32">
        <f t="shared" ca="1" si="7"/>
        <v>0.81202512382483361</v>
      </c>
      <c r="F32">
        <f t="shared" ca="1" si="8"/>
        <v>4475</v>
      </c>
      <c r="G32">
        <f t="shared" ca="1" si="9"/>
        <v>46.407253321273814</v>
      </c>
      <c r="J32">
        <f t="shared" si="0"/>
        <v>31</v>
      </c>
      <c r="K32">
        <v>102.00408533269749</v>
      </c>
    </row>
    <row r="33" spans="1:11" x14ac:dyDescent="0.35">
      <c r="A33" t="str">
        <f ca="1">_xlfn.LET(_xlpm.r, RAND()+ROW()/100000 + $H$2/1000 + $H$2/1000,
 IF(_xlpm.r&lt;$B$5,"Small",
 IF(_xlpm.r&lt;$B$5+$B$6,"Medium","Large")))</f>
        <v>Small</v>
      </c>
      <c r="B33">
        <f t="shared" ca="1" si="1"/>
        <v>150</v>
      </c>
      <c r="C33">
        <f t="shared" ca="1" si="6"/>
        <v>75</v>
      </c>
      <c r="D33">
        <f ca="1">$B$2 * (1 - $D$2/2 + (RAND()+ROW()/100000 + $H$2/1000 + $H$2/1000) * $D$2)</f>
        <v>0.5976142641669252</v>
      </c>
      <c r="E33">
        <f t="shared" ca="1" si="7"/>
        <v>0.83666008323445962</v>
      </c>
      <c r="F33">
        <f t="shared" ca="1" si="8"/>
        <v>4550</v>
      </c>
      <c r="G33">
        <f t="shared" ca="1" si="9"/>
        <v>47.243913404508277</v>
      </c>
      <c r="J33">
        <f t="shared" si="0"/>
        <v>32</v>
      </c>
      <c r="K33">
        <v>102.48617518450604</v>
      </c>
    </row>
    <row r="34" spans="1:11" x14ac:dyDescent="0.35">
      <c r="A34" t="str">
        <f ca="1">_xlfn.LET(_xlpm.r, RAND()+ROW()/100000 + $H$2/1000 + $H$2/1000,
 IF(_xlpm.r&lt;$B$5,"Small",
 IF(_xlpm.r&lt;$B$5+$B$6,"Medium","Large")))</f>
        <v>Small</v>
      </c>
      <c r="B34">
        <f t="shared" ca="1" si="1"/>
        <v>150</v>
      </c>
      <c r="C34">
        <f t="shared" ca="1" si="6"/>
        <v>75</v>
      </c>
      <c r="D34">
        <f ca="1">$B$2 * (1 - $D$2/2 + (RAND()+ROW()/100000 + $H$2/1000 + $H$2/1000) * $D$2)</f>
        <v>0.77023157371689532</v>
      </c>
      <c r="E34">
        <f t="shared" ca="1" si="7"/>
        <v>0.64915541904775109</v>
      </c>
      <c r="F34">
        <f t="shared" ca="1" si="8"/>
        <v>4625</v>
      </c>
      <c r="G34">
        <f t="shared" ca="1" si="9"/>
        <v>47.893068823556028</v>
      </c>
      <c r="J34">
        <f t="shared" si="0"/>
        <v>33</v>
      </c>
      <c r="K34">
        <v>106.52592510782074</v>
      </c>
    </row>
    <row r="35" spans="1:11" x14ac:dyDescent="0.35">
      <c r="A35" t="str">
        <f ca="1">_xlfn.LET(_xlpm.r, RAND()+ROW()/100000 + $H$2/1000 + $H$2/1000,
 IF(_xlpm.r&lt;$B$5,"Small",
 IF(_xlpm.r&lt;$B$5+$B$6,"Medium","Large")))</f>
        <v>Small</v>
      </c>
      <c r="B35">
        <f t="shared" ca="1" si="1"/>
        <v>150</v>
      </c>
      <c r="C35">
        <f t="shared" ca="1" si="6"/>
        <v>75</v>
      </c>
      <c r="D35">
        <f ca="1">$B$2 * (1 - $D$2/2 + (RAND()+ROW()/100000 + $H$2/1000 + $H$2/1000) * $D$2)</f>
        <v>0.60352187294965021</v>
      </c>
      <c r="E35">
        <f t="shared" ca="1" si="7"/>
        <v>0.82847038758728353</v>
      </c>
      <c r="F35">
        <f t="shared" ca="1" si="8"/>
        <v>4700</v>
      </c>
      <c r="G35">
        <f t="shared" ca="1" si="9"/>
        <v>48.721539211143309</v>
      </c>
      <c r="J35">
        <f t="shared" si="0"/>
        <v>34</v>
      </c>
      <c r="K35">
        <v>105.39849964989799</v>
      </c>
    </row>
    <row r="36" spans="1:11" x14ac:dyDescent="0.35">
      <c r="A36" t="str">
        <f ca="1">_xlfn.LET(_xlpm.r, RAND()+ROW()/100000 + $H$2/1000 + $H$2/1000,
 IF(_xlpm.r&lt;$B$5,"Small",
 IF(_xlpm.r&lt;$B$5+$B$6,"Medium","Large")))</f>
        <v>Small</v>
      </c>
      <c r="B36">
        <f t="shared" ca="1" si="1"/>
        <v>150</v>
      </c>
      <c r="C36">
        <f t="shared" ca="1" si="6"/>
        <v>75</v>
      </c>
      <c r="D36">
        <f ca="1">$B$2 * (1 - $D$2/2 + (RAND()+ROW()/100000 + $H$2/1000 + $H$2/1000) * $D$2)</f>
        <v>0.73232374680530199</v>
      </c>
      <c r="E36">
        <f t="shared" ca="1" si="7"/>
        <v>0.6827581410287541</v>
      </c>
      <c r="F36">
        <f t="shared" ca="1" si="8"/>
        <v>4775</v>
      </c>
      <c r="G36">
        <f t="shared" ca="1" si="9"/>
        <v>49.404297352172065</v>
      </c>
      <c r="J36">
        <f t="shared" si="0"/>
        <v>35</v>
      </c>
      <c r="K36">
        <v>103.89940543406641</v>
      </c>
    </row>
    <row r="37" spans="1:11" x14ac:dyDescent="0.35">
      <c r="A37" t="str">
        <f ca="1">_xlfn.LET(_xlpm.r, RAND()+ROW()/100000 + $H$2/1000 + $H$2/1000,
 IF(_xlpm.r&lt;$B$5,"Small",
 IF(_xlpm.r&lt;$B$5+$B$6,"Medium","Large")))</f>
        <v>Medium</v>
      </c>
      <c r="B37">
        <f t="shared" ca="1" si="1"/>
        <v>500</v>
      </c>
      <c r="C37">
        <f t="shared" ca="1" si="6"/>
        <v>200</v>
      </c>
      <c r="D37">
        <f ca="1">$B$2 * (1 - $D$2/2 + (RAND()+ROW()/100000 + $H$2/1000 + $H$2/1000) * $D$2)</f>
        <v>0.74747948297784461</v>
      </c>
      <c r="E37">
        <f t="shared" ca="1" si="7"/>
        <v>2.2297156037339247</v>
      </c>
      <c r="F37">
        <f t="shared" ca="1" si="8"/>
        <v>4975</v>
      </c>
      <c r="G37">
        <f t="shared" ca="1" si="9"/>
        <v>51.634012955905987</v>
      </c>
      <c r="J37">
        <f t="shared" si="0"/>
        <v>36</v>
      </c>
      <c r="K37">
        <v>103.12873920879524</v>
      </c>
    </row>
    <row r="38" spans="1:11" x14ac:dyDescent="0.35">
      <c r="A38" t="str">
        <f ca="1">_xlfn.LET(_xlpm.r, RAND()+ROW()/100000 + $H$2/1000 + $H$2/1000,
 IF(_xlpm.r&lt;$B$5,"Small",
 IF(_xlpm.r&lt;$B$5+$B$6,"Medium","Large")))</f>
        <v>Small</v>
      </c>
      <c r="B38">
        <f t="shared" ca="1" si="1"/>
        <v>150</v>
      </c>
      <c r="C38">
        <f t="shared" ca="1" si="6"/>
        <v>75</v>
      </c>
      <c r="D38">
        <f ca="1">$B$2 * (1 - $D$2/2 + (RAND()+ROW()/100000 + $H$2/1000 + $H$2/1000) * $D$2)</f>
        <v>0.79935464741311901</v>
      </c>
      <c r="E38">
        <f t="shared" ca="1" si="7"/>
        <v>0.62550458875557413</v>
      </c>
      <c r="F38">
        <f t="shared" ca="1" si="8"/>
        <v>5050</v>
      </c>
      <c r="G38">
        <f t="shared" ca="1" si="9"/>
        <v>52.259517544661563</v>
      </c>
      <c r="J38">
        <f t="shared" si="0"/>
        <v>37</v>
      </c>
      <c r="K38">
        <v>103.32411100943887</v>
      </c>
    </row>
    <row r="39" spans="1:11" x14ac:dyDescent="0.35">
      <c r="A39" t="str">
        <f ca="1">_xlfn.LET(_xlpm.r, RAND()+ROW()/100000 + $H$2/1000 + $H$2/1000,
 IF(_xlpm.r&lt;$B$5,"Small",
 IF(_xlpm.r&lt;$B$5+$B$6,"Medium","Large")))</f>
        <v>Small</v>
      </c>
      <c r="B39">
        <f t="shared" ca="1" si="1"/>
        <v>150</v>
      </c>
      <c r="C39">
        <f t="shared" ca="1" si="6"/>
        <v>75</v>
      </c>
      <c r="D39">
        <f ca="1">$B$2 * (1 - $D$2/2 + (RAND()+ROW()/100000 + $H$2/1000 + $H$2/1000) * $D$2)</f>
        <v>0.61238479912057331</v>
      </c>
      <c r="E39">
        <f t="shared" ca="1" si="7"/>
        <v>0.81648009669416088</v>
      </c>
      <c r="F39">
        <f t="shared" ca="1" si="8"/>
        <v>5125</v>
      </c>
      <c r="G39">
        <f t="shared" ca="1" si="9"/>
        <v>53.075997641355727</v>
      </c>
      <c r="J39">
        <f t="shared" si="0"/>
        <v>38</v>
      </c>
      <c r="K39">
        <v>97.797419931050982</v>
      </c>
    </row>
    <row r="40" spans="1:11" x14ac:dyDescent="0.35">
      <c r="A40" t="str">
        <f ca="1">_xlfn.LET(_xlpm.r, RAND()+ROW()/100000 + $H$2/1000 + $H$2/1000,
 IF(_xlpm.r&lt;$B$5,"Small",
 IF(_xlpm.r&lt;$B$5+$B$6,"Medium","Large")))</f>
        <v>Small</v>
      </c>
      <c r="B40">
        <f t="shared" ca="1" si="1"/>
        <v>150</v>
      </c>
      <c r="C40">
        <f t="shared" ca="1" si="6"/>
        <v>75</v>
      </c>
      <c r="D40">
        <f ca="1">$B$2 * (1 - $D$2/2 + (RAND()+ROW()/100000 + $H$2/1000 + $H$2/1000) * $D$2)</f>
        <v>0.76058185352259822</v>
      </c>
      <c r="E40">
        <f t="shared" ca="1" si="7"/>
        <v>0.65739144009849049</v>
      </c>
      <c r="F40">
        <f t="shared" ca="1" si="8"/>
        <v>5200</v>
      </c>
      <c r="G40">
        <f t="shared" ca="1" si="9"/>
        <v>53.73338908145422</v>
      </c>
      <c r="J40">
        <f t="shared" si="0"/>
        <v>39</v>
      </c>
      <c r="K40">
        <v>100.16709659961234</v>
      </c>
    </row>
    <row r="41" spans="1:11" x14ac:dyDescent="0.35">
      <c r="A41" t="str">
        <f ca="1">_xlfn.LET(_xlpm.r, RAND()+ROW()/100000 + $H$2/1000 + $H$2/1000,
 IF(_xlpm.r&lt;$B$5,"Small",
 IF(_xlpm.r&lt;$B$5+$B$6,"Medium","Large")))</f>
        <v>Medium</v>
      </c>
      <c r="B41">
        <f t="shared" ca="1" si="1"/>
        <v>500</v>
      </c>
      <c r="C41">
        <f t="shared" ca="1" si="6"/>
        <v>200</v>
      </c>
      <c r="D41">
        <f ca="1">$B$2 * (1 - $D$2/2 + (RAND()+ROW()/100000 + $H$2/1000 + $H$2/1000) * $D$2)</f>
        <v>0.77145288061091188</v>
      </c>
      <c r="E41">
        <f t="shared" ca="1" si="7"/>
        <v>2.1604257480338096</v>
      </c>
      <c r="F41">
        <f t="shared" ca="1" si="8"/>
        <v>5400</v>
      </c>
      <c r="G41">
        <f t="shared" ca="1" si="9"/>
        <v>55.893814829488029</v>
      </c>
      <c r="J41">
        <f t="shared" si="0"/>
        <v>40</v>
      </c>
      <c r="K41">
        <v>102.29402430332797</v>
      </c>
    </row>
    <row r="42" spans="1:11" x14ac:dyDescent="0.35">
      <c r="A42" t="str">
        <f ca="1">_xlfn.LET(_xlpm.r, RAND()+ROW()/100000 + $H$2/1000 + $H$2/1000,
 IF(_xlpm.r&lt;$B$5,"Small",
 IF(_xlpm.r&lt;$B$5+$B$6,"Medium","Large")))</f>
        <v>Small</v>
      </c>
      <c r="B42">
        <f t="shared" ca="1" si="1"/>
        <v>150</v>
      </c>
      <c r="C42">
        <f t="shared" ca="1" si="6"/>
        <v>75</v>
      </c>
      <c r="D42">
        <f ca="1">$B$2 * (1 - $D$2/2 + (RAND()+ROW()/100000 + $H$2/1000 + $H$2/1000) * $D$2)</f>
        <v>0.7901324368990027</v>
      </c>
      <c r="E42">
        <f t="shared" ca="1" si="7"/>
        <v>0.63280530788272349</v>
      </c>
      <c r="F42">
        <f t="shared" ca="1" si="8"/>
        <v>5475</v>
      </c>
      <c r="G42">
        <f t="shared" ca="1" si="9"/>
        <v>56.526620137370756</v>
      </c>
      <c r="J42">
        <f t="shared" si="0"/>
        <v>41</v>
      </c>
      <c r="K42">
        <v>101.7483066769915</v>
      </c>
    </row>
    <row r="43" spans="1:11" x14ac:dyDescent="0.35">
      <c r="A43" t="str">
        <f ca="1">_xlfn.LET(_xlpm.r, RAND()+ROW()/100000 + $H$2/1000 + $H$2/1000,
 IF(_xlpm.r&lt;$B$5,"Small",
 IF(_xlpm.r&lt;$B$5+$B$6,"Medium","Large")))</f>
        <v>Medium</v>
      </c>
      <c r="B43">
        <f t="shared" ca="1" si="1"/>
        <v>500</v>
      </c>
      <c r="C43">
        <f t="shared" ca="1" si="6"/>
        <v>200</v>
      </c>
      <c r="D43">
        <f ca="1">$B$2 * (1 - $D$2/2 + (RAND()+ROW()/100000 + $H$2/1000 + $H$2/1000) * $D$2)</f>
        <v>0.64654046727826064</v>
      </c>
      <c r="E43">
        <f t="shared" ca="1" si="7"/>
        <v>2.5778226592417766</v>
      </c>
      <c r="F43">
        <f t="shared" ca="1" si="8"/>
        <v>5675</v>
      </c>
      <c r="G43">
        <f t="shared" ca="1" si="9"/>
        <v>59.104442796612531</v>
      </c>
      <c r="J43">
        <f t="shared" si="0"/>
        <v>42</v>
      </c>
      <c r="K43">
        <v>107.59966234321686</v>
      </c>
    </row>
    <row r="44" spans="1:11" x14ac:dyDescent="0.35">
      <c r="A44" t="str">
        <f ca="1">_xlfn.LET(_xlpm.r, RAND()+ROW()/100000 + $H$2/1000 + $H$2/1000,
 IF(_xlpm.r&lt;$B$5,"Small",
 IF(_xlpm.r&lt;$B$5+$B$6,"Medium","Large")))</f>
        <v>Small</v>
      </c>
      <c r="B44">
        <f t="shared" ca="1" si="1"/>
        <v>150</v>
      </c>
      <c r="C44">
        <f t="shared" ca="1" si="6"/>
        <v>75</v>
      </c>
      <c r="D44">
        <f ca="1">$B$2 * (1 - $D$2/2 + (RAND()+ROW()/100000 + $H$2/1000 + $H$2/1000) * $D$2)</f>
        <v>0.67815201524207447</v>
      </c>
      <c r="E44">
        <f t="shared" ca="1" si="7"/>
        <v>0.73729781636277969</v>
      </c>
      <c r="F44">
        <f t="shared" ca="1" si="8"/>
        <v>5750</v>
      </c>
      <c r="G44">
        <f t="shared" ca="1" si="9"/>
        <v>59.841740612975308</v>
      </c>
      <c r="J44">
        <f t="shared" si="0"/>
        <v>43</v>
      </c>
      <c r="K44">
        <v>102.66858734735625</v>
      </c>
    </row>
    <row r="45" spans="1:11" x14ac:dyDescent="0.35">
      <c r="A45" t="str">
        <f ca="1">_xlfn.LET(_xlpm.r, RAND()+ROW()/100000 + $H$2/1000 + $H$2/1000,
 IF(_xlpm.r&lt;$B$5,"Small",
 IF(_xlpm.r&lt;$B$5+$B$6,"Medium","Large")))</f>
        <v>Small</v>
      </c>
      <c r="B45">
        <f t="shared" ca="1" si="1"/>
        <v>150</v>
      </c>
      <c r="C45">
        <f t="shared" ca="1" si="6"/>
        <v>75</v>
      </c>
      <c r="D45">
        <f ca="1">$B$2 * (1 - $D$2/2 + (RAND()+ROW()/100000 + $H$2/1000 + $H$2/1000) * $D$2)</f>
        <v>0.74267382431859519</v>
      </c>
      <c r="E45">
        <f t="shared" ca="1" si="7"/>
        <v>0.67324306260389755</v>
      </c>
      <c r="F45">
        <f t="shared" ca="1" si="8"/>
        <v>5825</v>
      </c>
      <c r="G45">
        <f t="shared" ca="1" si="9"/>
        <v>60.514983675579202</v>
      </c>
      <c r="J45">
        <f t="shared" si="0"/>
        <v>44</v>
      </c>
      <c r="K45">
        <v>102.88419035423294</v>
      </c>
    </row>
    <row r="46" spans="1:11" x14ac:dyDescent="0.35">
      <c r="A46" t="str">
        <f ca="1">_xlfn.LET(_xlpm.r, RAND()+ROW()/100000 + $H$2/1000 + $H$2/1000,
 IF(_xlpm.r&lt;$B$5,"Small",
 IF(_xlpm.r&lt;$B$5+$B$6,"Medium","Large")))</f>
        <v>Medium</v>
      </c>
      <c r="B46">
        <f t="shared" ca="1" si="1"/>
        <v>500</v>
      </c>
      <c r="C46">
        <f t="shared" ca="1" si="6"/>
        <v>200</v>
      </c>
      <c r="D46">
        <f ca="1">$B$2 * (1 - $D$2/2 + (RAND()+ROW()/100000 + $H$2/1000 + $H$2/1000) * $D$2)</f>
        <v>0.7289350445104601</v>
      </c>
      <c r="E46">
        <f t="shared" ca="1" si="7"/>
        <v>2.2864405809792978</v>
      </c>
      <c r="F46">
        <f t="shared" ca="1" si="8"/>
        <v>6025</v>
      </c>
      <c r="G46">
        <f t="shared" ca="1" si="9"/>
        <v>62.801424256558498</v>
      </c>
      <c r="J46">
        <f t="shared" si="0"/>
        <v>45</v>
      </c>
      <c r="K46">
        <v>103.97041523311556</v>
      </c>
    </row>
    <row r="47" spans="1:11" x14ac:dyDescent="0.35">
      <c r="A47" t="str">
        <f ca="1">_xlfn.LET(_xlpm.r, RAND()+ROW()/100000 + $H$2/1000 + $H$2/1000,
 IF(_xlpm.r&lt;$B$5,"Small",
 IF(_xlpm.r&lt;$B$5+$B$6,"Medium","Large")))</f>
        <v>Small</v>
      </c>
      <c r="B47">
        <f t="shared" ca="1" si="1"/>
        <v>150</v>
      </c>
      <c r="C47">
        <f t="shared" ca="1" si="6"/>
        <v>75</v>
      </c>
      <c r="D47">
        <f ca="1">$B$2 * (1 - $D$2/2 + (RAND()+ROW()/100000 + $H$2/1000 + $H$2/1000) * $D$2)</f>
        <v>0.75213345590306635</v>
      </c>
      <c r="E47">
        <f t="shared" ca="1" si="7"/>
        <v>0.66477564064699601</v>
      </c>
      <c r="F47">
        <f t="shared" ca="1" si="8"/>
        <v>6100</v>
      </c>
      <c r="G47">
        <f t="shared" ca="1" si="9"/>
        <v>63.466199897205492</v>
      </c>
      <c r="J47">
        <f t="shared" si="0"/>
        <v>46</v>
      </c>
      <c r="K47">
        <v>104.58120302900515</v>
      </c>
    </row>
    <row r="48" spans="1:11" x14ac:dyDescent="0.35">
      <c r="A48" t="str">
        <f ca="1">_xlfn.LET(_xlpm.r, RAND()+ROW()/100000 + $H$2/1000 + $H$2/1000,
 IF(_xlpm.r&lt;$B$5,"Small",
 IF(_xlpm.r&lt;$B$5+$B$6,"Medium","Large")))</f>
        <v>Medium</v>
      </c>
      <c r="B48">
        <f t="shared" ca="1" si="1"/>
        <v>500</v>
      </c>
      <c r="C48">
        <f t="shared" ca="1" si="6"/>
        <v>200</v>
      </c>
      <c r="D48">
        <f ca="1">$B$2 * (1 - $D$2/2 + (RAND()+ROW()/100000 + $H$2/1000 + $H$2/1000) * $D$2)</f>
        <v>0.74056352970844674</v>
      </c>
      <c r="E48">
        <f t="shared" ca="1" si="7"/>
        <v>2.2505384073164101</v>
      </c>
      <c r="F48">
        <f t="shared" ca="1" si="8"/>
        <v>6300</v>
      </c>
      <c r="G48">
        <f t="shared" ca="1" si="9"/>
        <v>65.716738304521897</v>
      </c>
      <c r="J48">
        <f t="shared" si="0"/>
        <v>47</v>
      </c>
      <c r="K48">
        <v>103.06654724081872</v>
      </c>
    </row>
    <row r="49" spans="1:11" x14ac:dyDescent="0.35">
      <c r="A49" t="str">
        <f ca="1">_xlfn.LET(_xlpm.r, RAND()+ROW()/100000 + $H$2/1000 + $H$2/1000,
 IF(_xlpm.r&lt;$B$5,"Small",
 IF(_xlpm.r&lt;$B$5+$B$6,"Medium","Large")))</f>
        <v>Small</v>
      </c>
      <c r="B49">
        <f t="shared" ca="1" si="1"/>
        <v>150</v>
      </c>
      <c r="C49">
        <f t="shared" ca="1" si="6"/>
        <v>75</v>
      </c>
      <c r="D49">
        <f ca="1">$B$2 * (1 - $D$2/2 + (RAND()+ROW()/100000 + $H$2/1000 + $H$2/1000) * $D$2)</f>
        <v>0.62253170761417531</v>
      </c>
      <c r="E49">
        <f t="shared" ca="1" si="7"/>
        <v>0.80317194109875534</v>
      </c>
      <c r="F49">
        <f t="shared" ca="1" si="8"/>
        <v>6375</v>
      </c>
      <c r="G49">
        <f t="shared" ca="1" si="9"/>
        <v>66.51991024562065</v>
      </c>
      <c r="J49">
        <f t="shared" si="0"/>
        <v>48</v>
      </c>
      <c r="K49">
        <v>106.18027016925471</v>
      </c>
    </row>
    <row r="50" spans="1:11" x14ac:dyDescent="0.35">
      <c r="A50" t="str">
        <f ca="1">_xlfn.LET(_xlpm.r, RAND()+ROW()/100000 + $H$2/1000 + $H$2/1000,
 IF(_xlpm.r&lt;$B$5,"Small",
 IF(_xlpm.r&lt;$B$5+$B$6,"Medium","Large")))</f>
        <v>Small</v>
      </c>
      <c r="B50">
        <f t="shared" ca="1" si="1"/>
        <v>150</v>
      </c>
      <c r="C50">
        <f t="shared" ca="1" si="6"/>
        <v>75</v>
      </c>
      <c r="D50">
        <f ca="1">$B$2 * (1 - $D$2/2 + (RAND()+ROW()/100000 + $H$2/1000 + $H$2/1000) * $D$2)</f>
        <v>0.71445677520987949</v>
      </c>
      <c r="E50">
        <f t="shared" ca="1" si="7"/>
        <v>0.69983240043194983</v>
      </c>
      <c r="F50">
        <f t="shared" ca="1" si="8"/>
        <v>6450</v>
      </c>
      <c r="G50">
        <f t="shared" ca="1" si="9"/>
        <v>67.219742646052595</v>
      </c>
      <c r="J50">
        <f t="shared" si="0"/>
        <v>49</v>
      </c>
      <c r="K50">
        <v>106.54117473148088</v>
      </c>
    </row>
    <row r="51" spans="1:11" x14ac:dyDescent="0.35">
      <c r="A51" t="str">
        <f ca="1">_xlfn.LET(_xlpm.r, RAND()+ROW()/100000 + $H$2/1000 + $H$2/1000,
 IF(_xlpm.r&lt;$B$5,"Small",
 IF(_xlpm.r&lt;$B$5+$B$6,"Medium","Large")))</f>
        <v>Medium</v>
      </c>
      <c r="B51">
        <f t="shared" ca="1" si="1"/>
        <v>500</v>
      </c>
      <c r="C51">
        <f t="shared" ca="1" si="6"/>
        <v>200</v>
      </c>
      <c r="D51">
        <f ca="1">$B$2 * (1 - $D$2/2 + (RAND()+ROW()/100000 + $H$2/1000 + $H$2/1000) * $D$2)</f>
        <v>0.72022015153691732</v>
      </c>
      <c r="E51">
        <f t="shared" ca="1" si="7"/>
        <v>2.3141072394462654</v>
      </c>
      <c r="F51">
        <f t="shared" ca="1" si="8"/>
        <v>6650</v>
      </c>
      <c r="G51">
        <f t="shared" ca="1" si="9"/>
        <v>69.533849885498853</v>
      </c>
      <c r="J51">
        <f t="shared" si="0"/>
        <v>50</v>
      </c>
      <c r="K51">
        <v>103.23617987710679</v>
      </c>
    </row>
    <row r="52" spans="1:11" x14ac:dyDescent="0.35">
      <c r="A52" t="str">
        <f ca="1">_xlfn.LET(_xlpm.r, RAND()+ROW()/100000 + $H$2/1000 + $H$2/1000,
 IF(_xlpm.r&lt;$B$5,"Small",
 IF(_xlpm.r&lt;$B$5+$B$6,"Medium","Large")))</f>
        <v>Large</v>
      </c>
      <c r="B52">
        <f t="shared" ca="1" si="1"/>
        <v>1000</v>
      </c>
      <c r="C52">
        <f t="shared" ca="1" si="6"/>
        <v>500</v>
      </c>
      <c r="D52">
        <f ca="1">$B$2 * (1 - $D$2/2 + (RAND()+ROW()/100000 + $H$2/1000 + $H$2/1000) * $D$2)</f>
        <v>0.76293733536716912</v>
      </c>
      <c r="E52">
        <f t="shared" ca="1" si="7"/>
        <v>4.3690787943011635</v>
      </c>
      <c r="F52">
        <f t="shared" ca="1" si="8"/>
        <v>7150</v>
      </c>
      <c r="G52">
        <f t="shared" ca="1" si="9"/>
        <v>73.902928679800013</v>
      </c>
      <c r="J52">
        <f t="shared" si="0"/>
        <v>51</v>
      </c>
      <c r="K52">
        <v>99.878443049776379</v>
      </c>
    </row>
    <row r="53" spans="1:11" x14ac:dyDescent="0.35">
      <c r="A53" t="str">
        <f ca="1">_xlfn.LET(_xlpm.r, RAND()+ROW()/100000 + $H$2/1000 + $H$2/1000,
 IF(_xlpm.r&lt;$B$5,"Small",
 IF(_xlpm.r&lt;$B$5+$B$6,"Medium","Large")))</f>
        <v>Medium</v>
      </c>
      <c r="B53">
        <f t="shared" ca="1" si="1"/>
        <v>500</v>
      </c>
      <c r="C53">
        <f t="shared" ca="1" si="6"/>
        <v>200</v>
      </c>
      <c r="D53">
        <f ca="1">$B$2 * (1 - $D$2/2 + (RAND()+ROW()/100000 + $H$2/1000 + $H$2/1000) * $D$2)</f>
        <v>0.79541921874565724</v>
      </c>
      <c r="E53">
        <f t="shared" ca="1" si="7"/>
        <v>2.0953311504025893</v>
      </c>
      <c r="F53">
        <f t="shared" ca="1" si="8"/>
        <v>7350</v>
      </c>
      <c r="G53">
        <f t="shared" ca="1" si="9"/>
        <v>75.998259830202599</v>
      </c>
      <c r="J53">
        <f t="shared" si="0"/>
        <v>52</v>
      </c>
      <c r="K53">
        <v>102.1463586803055</v>
      </c>
    </row>
    <row r="54" spans="1:11" x14ac:dyDescent="0.35">
      <c r="A54" t="str">
        <f ca="1">_xlfn.LET(_xlpm.r, RAND()+ROW()/100000 + $H$2/1000 + $H$2/1000,
 IF(_xlpm.r&lt;$B$5,"Small",
 IF(_xlpm.r&lt;$B$5+$B$6,"Medium","Large")))</f>
        <v>Medium</v>
      </c>
      <c r="B54">
        <f t="shared" ca="1" si="1"/>
        <v>500</v>
      </c>
      <c r="C54">
        <f t="shared" ca="1" si="6"/>
        <v>200</v>
      </c>
      <c r="D54">
        <f ca="1">$B$2 * (1 - $D$2/2 + (RAND()+ROW()/100000 + $H$2/1000 + $H$2/1000) * $D$2)</f>
        <v>0.67653624633788079</v>
      </c>
      <c r="E54">
        <f t="shared" ca="1" si="7"/>
        <v>2.4635290062999635</v>
      </c>
      <c r="F54">
        <f t="shared" ca="1" si="8"/>
        <v>7550</v>
      </c>
      <c r="G54">
        <f t="shared" ca="1" si="9"/>
        <v>78.461788836502564</v>
      </c>
      <c r="J54">
        <f t="shared" si="0"/>
        <v>53</v>
      </c>
      <c r="K54">
        <v>102.5628801761152</v>
      </c>
    </row>
    <row r="55" spans="1:11" x14ac:dyDescent="0.35">
      <c r="A55" t="str">
        <f ca="1">_xlfn.LET(_xlpm.r, RAND()+ROW()/100000 + $H$2/1000 + $H$2/1000,
 IF(_xlpm.r&lt;$B$5,"Small",
 IF(_xlpm.r&lt;$B$5+$B$6,"Medium","Large")))</f>
        <v>Large</v>
      </c>
      <c r="B55">
        <f t="shared" ca="1" si="1"/>
        <v>1000</v>
      </c>
      <c r="C55">
        <f t="shared" ca="1" si="6"/>
        <v>500</v>
      </c>
      <c r="D55">
        <f ca="1">$B$2 * (1 - $D$2/2 + (RAND()+ROW()/100000 + $H$2/1000 + $H$2/1000) * $D$2)</f>
        <v>0.63098604147976234</v>
      </c>
      <c r="E55">
        <f t="shared" ca="1" si="7"/>
        <v>5.2827370404520169</v>
      </c>
      <c r="F55">
        <f t="shared" ca="1" si="8"/>
        <v>8050</v>
      </c>
      <c r="G55">
        <f t="shared" ca="1" si="9"/>
        <v>83.744525876954583</v>
      </c>
      <c r="J55">
        <f t="shared" si="0"/>
        <v>54</v>
      </c>
      <c r="K55">
        <v>102.78382370772567</v>
      </c>
    </row>
    <row r="56" spans="1:11" x14ac:dyDescent="0.35">
      <c r="A56" t="str">
        <f ca="1">_xlfn.LET(_xlpm.r, RAND()+ROW()/100000 + $H$2/1000 + $H$2/1000,
 IF(_xlpm.r&lt;$B$5,"Small",
 IF(_xlpm.r&lt;$B$5+$B$6,"Medium","Large")))</f>
        <v>Small</v>
      </c>
      <c r="B56">
        <f t="shared" ca="1" si="1"/>
        <v>150</v>
      </c>
      <c r="C56">
        <f t="shared" ca="1" si="6"/>
        <v>75</v>
      </c>
      <c r="D56">
        <f ca="1">$B$2 * (1 - $D$2/2 + (RAND()+ROW()/100000 + $H$2/1000 + $H$2/1000) * $D$2)</f>
        <v>0.7067063113012807</v>
      </c>
      <c r="E56">
        <f t="shared" ca="1" si="7"/>
        <v>0.70750747800643543</v>
      </c>
      <c r="F56">
        <f t="shared" ca="1" si="8"/>
        <v>8125</v>
      </c>
      <c r="G56">
        <f t="shared" ca="1" si="9"/>
        <v>84.452033354961017</v>
      </c>
      <c r="J56">
        <f t="shared" si="0"/>
        <v>55</v>
      </c>
      <c r="K56">
        <v>101.66733397313732</v>
      </c>
    </row>
    <row r="57" spans="1:11" x14ac:dyDescent="0.35">
      <c r="A57" t="str">
        <f ca="1">_xlfn.LET(_xlpm.r, RAND()+ROW()/100000 + $H$2/1000 + $H$2/1000,
 IF(_xlpm.r&lt;$B$5,"Small",
 IF(_xlpm.r&lt;$B$5+$B$6,"Medium","Large")))</f>
        <v>Small</v>
      </c>
      <c r="B57">
        <f t="shared" ca="1" si="1"/>
        <v>150</v>
      </c>
      <c r="C57">
        <f t="shared" ca="1" si="6"/>
        <v>75</v>
      </c>
      <c r="D57">
        <f ca="1">$B$2 * (1 - $D$2/2 + (RAND()+ROW()/100000 + $H$2/1000 + $H$2/1000) * $D$2)</f>
        <v>0.79414402266891393</v>
      </c>
      <c r="E57">
        <f t="shared" ca="1" si="7"/>
        <v>0.62960871797489393</v>
      </c>
      <c r="F57">
        <f t="shared" ca="1" si="8"/>
        <v>8200</v>
      </c>
      <c r="G57">
        <f t="shared" ca="1" si="9"/>
        <v>85.081642072935907</v>
      </c>
      <c r="J57">
        <f t="shared" si="0"/>
        <v>56</v>
      </c>
      <c r="K57">
        <v>103.75739639879912</v>
      </c>
    </row>
    <row r="58" spans="1:11" x14ac:dyDescent="0.35">
      <c r="A58" t="str">
        <f ca="1">_xlfn.LET(_xlpm.r, RAND()+ROW()/100000 + $H$2/1000 + $H$2/1000,
 IF(_xlpm.r&lt;$B$5,"Small",
 IF(_xlpm.r&lt;$B$5+$B$6,"Medium","Large")))</f>
        <v>Small</v>
      </c>
      <c r="B58">
        <f t="shared" ca="1" si="1"/>
        <v>150</v>
      </c>
      <c r="C58">
        <f t="shared" ca="1" si="6"/>
        <v>75</v>
      </c>
      <c r="D58">
        <f ca="1">$B$2 * (1 - $D$2/2 + (RAND()+ROW()/100000 + $H$2/1000 + $H$2/1000) * $D$2)</f>
        <v>0.79383251093917451</v>
      </c>
      <c r="E58">
        <f t="shared" ca="1" si="7"/>
        <v>0.62985578583630386</v>
      </c>
      <c r="F58">
        <f t="shared" ca="1" si="8"/>
        <v>8275</v>
      </c>
      <c r="G58">
        <f t="shared" ca="1" si="9"/>
        <v>85.711497858772205</v>
      </c>
      <c r="J58">
        <f t="shared" si="0"/>
        <v>57</v>
      </c>
      <c r="K58">
        <v>99.124574735716024</v>
      </c>
    </row>
    <row r="59" spans="1:11" x14ac:dyDescent="0.35">
      <c r="A59" t="str">
        <f ca="1">_xlfn.LET(_xlpm.r, RAND()+ROW()/100000 + $H$2/1000 + $H$2/1000,
 IF(_xlpm.r&lt;$B$5,"Small",
 IF(_xlpm.r&lt;$B$5+$B$6,"Medium","Large")))</f>
        <v>Large</v>
      </c>
      <c r="B59">
        <f t="shared" ca="1" si="1"/>
        <v>1000</v>
      </c>
      <c r="C59">
        <f t="shared" ca="1" si="6"/>
        <v>500</v>
      </c>
      <c r="D59">
        <f ca="1">$B$2 * (1 - $D$2/2 + (RAND()+ROW()/100000 + $H$2/1000 + $H$2/1000) * $D$2)</f>
        <v>0.7200017787713936</v>
      </c>
      <c r="E59">
        <f t="shared" ca="1" si="7"/>
        <v>4.6296181920846253</v>
      </c>
      <c r="F59">
        <f t="shared" ca="1" si="8"/>
        <v>8775</v>
      </c>
      <c r="G59">
        <f t="shared" ca="1" si="9"/>
        <v>90.341116050856826</v>
      </c>
      <c r="J59">
        <f t="shared" si="0"/>
        <v>58</v>
      </c>
      <c r="K59">
        <v>101.52270929276841</v>
      </c>
    </row>
    <row r="60" spans="1:11" x14ac:dyDescent="0.35">
      <c r="A60" t="str">
        <f ca="1">_xlfn.LET(_xlpm.r, RAND()+ROW()/100000 + $H$2/1000 + $H$2/1000,
 IF(_xlpm.r&lt;$B$5,"Small",
 IF(_xlpm.r&lt;$B$5+$B$6,"Medium","Large")))</f>
        <v>Small</v>
      </c>
      <c r="B60">
        <f t="shared" ca="1" si="1"/>
        <v>150</v>
      </c>
      <c r="C60">
        <f t="shared" ca="1" si="6"/>
        <v>75</v>
      </c>
      <c r="D60">
        <f ca="1">$B$2 * (1 - $D$2/2 + (RAND()+ROW()/100000 + $H$2/1000 + $H$2/1000) * $D$2)</f>
        <v>0.67364158460238699</v>
      </c>
      <c r="E60">
        <f t="shared" ca="1" si="7"/>
        <v>0.74223446329418941</v>
      </c>
      <c r="F60">
        <f t="shared" ca="1" si="8"/>
        <v>8850</v>
      </c>
      <c r="G60">
        <f t="shared" ca="1" si="9"/>
        <v>91.083350514151022</v>
      </c>
      <c r="J60">
        <f t="shared" si="0"/>
        <v>59</v>
      </c>
      <c r="K60">
        <v>98.003846706807721</v>
      </c>
    </row>
    <row r="61" spans="1:11" x14ac:dyDescent="0.35">
      <c r="A61" t="str">
        <f ca="1">_xlfn.LET(_xlpm.r, RAND()+ROW()/100000 + $H$2/1000 + $H$2/1000,
 IF(_xlpm.r&lt;$B$5,"Small",
 IF(_xlpm.r&lt;$B$5+$B$6,"Medium","Large")))</f>
        <v>Small</v>
      </c>
      <c r="B61">
        <f t="shared" ca="1" si="1"/>
        <v>150</v>
      </c>
      <c r="C61">
        <f t="shared" ca="1" si="6"/>
        <v>75</v>
      </c>
      <c r="D61">
        <f ca="1">$B$2 * (1 - $D$2/2 + (RAND()+ROW()/100000 + $H$2/1000 + $H$2/1000) * $D$2)</f>
        <v>0.64999992845755272</v>
      </c>
      <c r="E61">
        <f t="shared" ca="1" si="7"/>
        <v>0.76923085389639667</v>
      </c>
      <c r="F61">
        <f t="shared" ca="1" si="8"/>
        <v>8925</v>
      </c>
      <c r="G61">
        <f t="shared" ca="1" si="9"/>
        <v>91.852581368047424</v>
      </c>
      <c r="J61">
        <f t="shared" si="0"/>
        <v>60</v>
      </c>
      <c r="K61">
        <v>102.39456541331805</v>
      </c>
    </row>
    <row r="62" spans="1:11" x14ac:dyDescent="0.35">
      <c r="A62" t="str">
        <f ca="1">_xlfn.LET(_xlpm.r, RAND()+ROW()/100000 + $H$2/1000 + $H$2/1000,
 IF(_xlpm.r&lt;$B$5,"Small",
 IF(_xlpm.r&lt;$B$5+$B$6,"Medium","Large")))</f>
        <v>Medium</v>
      </c>
      <c r="B62">
        <f t="shared" ca="1" si="1"/>
        <v>500</v>
      </c>
      <c r="C62">
        <f t="shared" ca="1" si="6"/>
        <v>200</v>
      </c>
      <c r="D62">
        <f ca="1">$B$2 * (1 - $D$2/2 + (RAND()+ROW()/100000 + $H$2/1000 + $H$2/1000) * $D$2)</f>
        <v>0.6638517878975736</v>
      </c>
      <c r="E62">
        <f t="shared" ca="1" si="7"/>
        <v>2.5106005542969454</v>
      </c>
      <c r="F62">
        <f t="shared" ca="1" si="8"/>
        <v>9125</v>
      </c>
      <c r="G62">
        <f t="shared" ca="1" si="9"/>
        <v>94.363181922344367</v>
      </c>
      <c r="J62">
        <f t="shared" si="0"/>
        <v>61</v>
      </c>
      <c r="K62">
        <v>101.80688775364735</v>
      </c>
    </row>
    <row r="63" spans="1:11" x14ac:dyDescent="0.35">
      <c r="A63" t="str">
        <f ca="1">_xlfn.LET(_xlpm.r, RAND()+ROW()/100000 + $H$2/1000 + $H$2/1000,
 IF(_xlpm.r&lt;$B$5,"Small",
 IF(_xlpm.r&lt;$B$5+$B$6,"Medium","Large")))</f>
        <v>Small</v>
      </c>
      <c r="B63">
        <f t="shared" ca="1" si="1"/>
        <v>150</v>
      </c>
      <c r="C63">
        <f t="shared" ca="1" si="6"/>
        <v>75</v>
      </c>
      <c r="D63">
        <f ca="1">$B$2 * (1 - $D$2/2 + (RAND()+ROW()/100000 + $H$2/1000 + $H$2/1000) * $D$2)</f>
        <v>0.6126653565186303</v>
      </c>
      <c r="E63">
        <f t="shared" ca="1" si="7"/>
        <v>0.81610620656138844</v>
      </c>
      <c r="F63">
        <f t="shared" ca="1" si="8"/>
        <v>9200</v>
      </c>
      <c r="G63">
        <f t="shared" ca="1" si="9"/>
        <v>95.179288128905753</v>
      </c>
      <c r="J63">
        <f t="shared" si="0"/>
        <v>62</v>
      </c>
      <c r="K63">
        <v>102.23293347393387</v>
      </c>
    </row>
    <row r="64" spans="1:11" x14ac:dyDescent="0.35">
      <c r="A64" t="str">
        <f ca="1">_xlfn.LET(_xlpm.r, RAND()+ROW()/100000 + $H$2/1000 + $H$2/1000,
 IF(_xlpm.r&lt;$B$5,"Small",
 IF(_xlpm.r&lt;$B$5+$B$6,"Medium","Large")))</f>
        <v>Small</v>
      </c>
      <c r="B64">
        <f t="shared" ca="1" si="1"/>
        <v>150</v>
      </c>
      <c r="C64">
        <f t="shared" ca="1" si="6"/>
        <v>75</v>
      </c>
      <c r="D64">
        <f ca="1">$B$2 * (1 - $D$2/2 + (RAND()+ROW()/100000 + $H$2/1000 + $H$2/1000) * $D$2)</f>
        <v>0.60552636886550137</v>
      </c>
      <c r="E64">
        <f t="shared" ca="1" si="7"/>
        <v>0.82572787199471942</v>
      </c>
      <c r="F64">
        <f t="shared" ca="1" si="8"/>
        <v>9275</v>
      </c>
      <c r="G64">
        <f t="shared" ca="1" si="9"/>
        <v>96.005016000900468</v>
      </c>
      <c r="J64">
        <f t="shared" si="0"/>
        <v>63</v>
      </c>
      <c r="K64">
        <v>96.205517481046044</v>
      </c>
    </row>
    <row r="65" spans="1:11" x14ac:dyDescent="0.35">
      <c r="A65" t="str">
        <f ca="1">_xlfn.LET(_xlpm.r, RAND()+ROW()/100000 + $H$2/1000 + $H$2/1000,
 IF(_xlpm.r&lt;$B$5,"Small",
 IF(_xlpm.r&lt;$B$5+$B$6,"Medium","Large")))</f>
        <v>Medium</v>
      </c>
      <c r="B65">
        <f t="shared" ca="1" si="1"/>
        <v>500</v>
      </c>
      <c r="C65">
        <f t="shared" ca="1" si="6"/>
        <v>200</v>
      </c>
      <c r="D65">
        <f ca="1">$B$2 * (1 - $D$2/2 + (RAND()+ROW()/100000 + $H$2/1000 + $H$2/1000) * $D$2)</f>
        <v>0.73151957137190737</v>
      </c>
      <c r="E65">
        <f t="shared" ca="1" si="7"/>
        <v>2.2783623731911429</v>
      </c>
      <c r="F65">
        <f t="shared" ca="1" si="8"/>
        <v>9475</v>
      </c>
      <c r="G65">
        <f t="shared" ca="1" si="9"/>
        <v>98.283378374091612</v>
      </c>
      <c r="J65">
        <f t="shared" si="0"/>
        <v>64</v>
      </c>
      <c r="K65">
        <v>103.13837872276792</v>
      </c>
    </row>
    <row r="66" spans="1:11" x14ac:dyDescent="0.35">
      <c r="A66" t="str">
        <f ca="1">_xlfn.LET(_xlpm.r, RAND()+ROW()/100000 + $H$2/1000 + $H$2/1000,
 IF(_xlpm.r&lt;$B$5,"Small",
 IF(_xlpm.r&lt;$B$5+$B$6,"Medium","Large")))</f>
        <v>Medium</v>
      </c>
      <c r="B66">
        <f t="shared" ca="1" si="1"/>
        <v>500</v>
      </c>
      <c r="C66">
        <f t="shared" ca="1" si="6"/>
        <v>200</v>
      </c>
      <c r="D66">
        <f ca="1">$B$2 * (1 - $D$2/2 + (RAND()+ROW()/100000 + $H$2/1000 + $H$2/1000) * $D$2)</f>
        <v>0.62903206425300995</v>
      </c>
      <c r="E66">
        <f t="shared" ca="1" si="7"/>
        <v>2.6495734659343189</v>
      </c>
      <c r="F66">
        <f t="shared" ca="1" si="8"/>
        <v>9675</v>
      </c>
      <c r="G66">
        <f t="shared" ca="1" si="9"/>
        <v>100.93295184002594</v>
      </c>
      <c r="J66">
        <f t="shared" si="0"/>
        <v>65</v>
      </c>
      <c r="K66">
        <v>98.602624854925836</v>
      </c>
    </row>
    <row r="67" spans="1:11" x14ac:dyDescent="0.35">
      <c r="A67" t="str">
        <f ca="1">_xlfn.LET(_xlpm.r, RAND()+ROW()/100000 + $H$2/1000 + $H$2/1000,
 IF(_xlpm.r&lt;$B$5,"Small",
 IF(_xlpm.r&lt;$B$5+$B$6,"Medium","Large")))</f>
        <v>Large</v>
      </c>
      <c r="B67">
        <f t="shared" ca="1" si="1"/>
        <v>1000</v>
      </c>
      <c r="C67">
        <f t="shared" ca="1" si="6"/>
        <v>500</v>
      </c>
      <c r="D67">
        <f ca="1">$B$2 * (1 - $D$2/2 + (RAND()+ROW()/100000 + $H$2/1000 + $H$2/1000) * $D$2)</f>
        <v>0.63612347385961499</v>
      </c>
      <c r="E67">
        <f t="shared" ca="1" si="7"/>
        <v>5.2400728322579733</v>
      </c>
      <c r="F67">
        <f t="shared" ca="1" si="8"/>
        <v>10175</v>
      </c>
      <c r="G67">
        <f t="shared" ca="1" si="9"/>
        <v>106.17302467228392</v>
      </c>
      <c r="J67">
        <f t="shared" si="0"/>
        <v>66</v>
      </c>
      <c r="K67">
        <v>97.74204623290008</v>
      </c>
    </row>
    <row r="68" spans="1:11" x14ac:dyDescent="0.35">
      <c r="A68" t="str">
        <f ca="1">_xlfn.LET(_xlpm.r, RAND()+ROW()/100000 + $H$2/1000 + $H$2/1000,
 IF(_xlpm.r&lt;$B$5,"Small",
 IF(_xlpm.r&lt;$B$5+$B$6,"Medium","Large")))</f>
        <v>Small</v>
      </c>
      <c r="B68">
        <f t="shared" ca="1" si="1"/>
        <v>150</v>
      </c>
      <c r="C68">
        <f t="shared" ca="1" si="6"/>
        <v>75</v>
      </c>
      <c r="D68">
        <f ca="1">$B$2 * (1 - $D$2/2 + (RAND()+ROW()/100000 + $H$2/1000 + $H$2/1000) * $D$2)</f>
        <v>0.68209190638852046</v>
      </c>
      <c r="E68">
        <f t="shared" ca="1" si="7"/>
        <v>0.73303904549660392</v>
      </c>
      <c r="F68">
        <f t="shared" ca="1" si="8"/>
        <v>10250</v>
      </c>
      <c r="G68">
        <f t="shared" ca="1" si="9"/>
        <v>106.90606371778053</v>
      </c>
      <c r="J68">
        <f t="shared" ref="J68:J131" si="10">J67+1</f>
        <v>67</v>
      </c>
      <c r="K68">
        <v>103.53309501418087</v>
      </c>
    </row>
    <row r="69" spans="1:11" x14ac:dyDescent="0.35">
      <c r="A69" t="str">
        <f ca="1">_xlfn.LET(_xlpm.r, RAND()+ROW()/100000 + $H$2/1000 + $H$2/1000,
 IF(_xlpm.r&lt;$B$5,"Small",
 IF(_xlpm.r&lt;$B$5+$B$6,"Medium","Large")))</f>
        <v>Small</v>
      </c>
      <c r="B69">
        <f t="shared" ca="1" si="1"/>
        <v>150</v>
      </c>
      <c r="C69">
        <f t="shared" ca="1" si="6"/>
        <v>75</v>
      </c>
      <c r="D69">
        <f ca="1">$B$2 * (1 - $D$2/2 + (RAND()+ROW()/100000 + $H$2/1000 + $H$2/1000) * $D$2)</f>
        <v>0.78985136297099512</v>
      </c>
      <c r="E69">
        <f t="shared" ca="1" si="7"/>
        <v>0.63303049591415461</v>
      </c>
      <c r="F69">
        <f t="shared" ca="1" si="8"/>
        <v>10325</v>
      </c>
      <c r="G69">
        <f t="shared" ca="1" si="9"/>
        <v>107.53909421369468</v>
      </c>
      <c r="J69">
        <f t="shared" si="10"/>
        <v>68</v>
      </c>
      <c r="K69">
        <v>101.89962291942935</v>
      </c>
    </row>
    <row r="70" spans="1:11" x14ac:dyDescent="0.35">
      <c r="A70" t="str">
        <f ca="1">_xlfn.LET(_xlpm.r, RAND()+ROW()/100000 + $H$2/1000 + $H$2/1000,
 IF(_xlpm.r&lt;$B$5,"Small",
 IF(_xlpm.r&lt;$B$5+$B$6,"Medium","Large")))</f>
        <v>Small</v>
      </c>
      <c r="B70">
        <f t="shared" ca="1" si="1"/>
        <v>150</v>
      </c>
      <c r="C70">
        <f t="shared" ca="1" si="6"/>
        <v>75</v>
      </c>
      <c r="D70">
        <f ca="1">$B$2 * (1 - $D$2/2 + (RAND()+ROW()/100000 + $H$2/1000 + $H$2/1000) * $D$2)</f>
        <v>0.77165519047221043</v>
      </c>
      <c r="E70">
        <f t="shared" ca="1" si="7"/>
        <v>0.64795780054823138</v>
      </c>
      <c r="F70">
        <f t="shared" ca="1" si="8"/>
        <v>10400</v>
      </c>
      <c r="G70">
        <f t="shared" ca="1" si="9"/>
        <v>108.18705201424291</v>
      </c>
      <c r="J70">
        <f t="shared" si="10"/>
        <v>69</v>
      </c>
      <c r="K70">
        <v>100.61707893262079</v>
      </c>
    </row>
    <row r="71" spans="1:11" x14ac:dyDescent="0.35">
      <c r="A71" t="str">
        <f ca="1">_xlfn.LET(_xlpm.r, RAND()+ROW()/100000 + $H$2/1000 + $H$2/1000,
 IF(_xlpm.r&lt;$B$5,"Small",
 IF(_xlpm.r&lt;$B$5+$B$6,"Medium","Large")))</f>
        <v>Medium</v>
      </c>
      <c r="B71">
        <f t="shared" ca="1" si="1"/>
        <v>500</v>
      </c>
      <c r="C71">
        <f t="shared" ca="1" si="6"/>
        <v>200</v>
      </c>
      <c r="D71">
        <f ca="1">$B$2 * (1 - $D$2/2 + (RAND()+ROW()/100000 + $H$2/1000 + $H$2/1000) * $D$2)</f>
        <v>0.60433993127914731</v>
      </c>
      <c r="E71">
        <f t="shared" ca="1" si="7"/>
        <v>2.7578297914867154</v>
      </c>
      <c r="F71">
        <f t="shared" ca="1" si="8"/>
        <v>10600</v>
      </c>
      <c r="G71">
        <f t="shared" ca="1" si="9"/>
        <v>110.94488180572962</v>
      </c>
      <c r="J71">
        <f t="shared" si="10"/>
        <v>70</v>
      </c>
      <c r="K71">
        <v>103.36416075856702</v>
      </c>
    </row>
    <row r="72" spans="1:11" x14ac:dyDescent="0.35">
      <c r="A72" t="str">
        <f ca="1">_xlfn.LET(_xlpm.r, RAND()+ROW()/100000 + $H$2/1000 + $H$2/1000,
 IF(_xlpm.r&lt;$B$5,"Small",
 IF(_xlpm.r&lt;$B$5+$B$6,"Medium","Large")))</f>
        <v>Small</v>
      </c>
      <c r="B72">
        <f t="shared" ca="1" si="1"/>
        <v>150</v>
      </c>
      <c r="C72">
        <f t="shared" ca="1" si="6"/>
        <v>75</v>
      </c>
      <c r="D72">
        <f ca="1">$B$2 * (1 - $D$2/2 + (RAND()+ROW()/100000 + $H$2/1000 + $H$2/1000) * $D$2)</f>
        <v>0.73116593060600954</v>
      </c>
      <c r="E72">
        <f t="shared" ca="1" si="7"/>
        <v>0.68383930250358749</v>
      </c>
      <c r="F72">
        <f t="shared" ca="1" si="8"/>
        <v>10675</v>
      </c>
      <c r="G72">
        <f t="shared" ca="1" si="9"/>
        <v>111.62872110823321</v>
      </c>
      <c r="J72">
        <f t="shared" si="10"/>
        <v>71</v>
      </c>
      <c r="K72">
        <v>97.754941820494395</v>
      </c>
    </row>
    <row r="73" spans="1:11" x14ac:dyDescent="0.35">
      <c r="A73" t="str">
        <f ca="1">_xlfn.LET(_xlpm.r, RAND()+ROW()/100000 + $H$2/1000 + $H$2/1000,
 IF(_xlpm.r&lt;$B$5,"Small",
 IF(_xlpm.r&lt;$B$5+$B$6,"Medium","Large")))</f>
        <v>Small</v>
      </c>
      <c r="B73">
        <f t="shared" ca="1" si="1"/>
        <v>150</v>
      </c>
      <c r="C73">
        <f t="shared" ca="1" si="6"/>
        <v>75</v>
      </c>
      <c r="D73">
        <f ca="1">$B$2 * (1 - $D$2/2 + (RAND()+ROW()/100000 + $H$2/1000 + $H$2/1000) * $D$2)</f>
        <v>0.60682422324723118</v>
      </c>
      <c r="E73">
        <f t="shared" ca="1" si="7"/>
        <v>0.82396183416081414</v>
      </c>
      <c r="F73">
        <f t="shared" ca="1" si="8"/>
        <v>10750</v>
      </c>
      <c r="G73">
        <f t="shared" ca="1" si="9"/>
        <v>112.45268294239402</v>
      </c>
      <c r="J73">
        <f t="shared" si="10"/>
        <v>72</v>
      </c>
      <c r="K73">
        <v>103.31228430780652</v>
      </c>
    </row>
    <row r="74" spans="1:11" x14ac:dyDescent="0.35">
      <c r="A74" t="str">
        <f ca="1">_xlfn.LET(_xlpm.r, RAND()+ROW()/100000 + $H$2/1000 + $H$2/1000,
 IF(_xlpm.r&lt;$B$5,"Small",
 IF(_xlpm.r&lt;$B$5+$B$6,"Medium","Large")))</f>
        <v>Small</v>
      </c>
      <c r="B74">
        <f t="shared" ca="1" si="1"/>
        <v>150</v>
      </c>
      <c r="C74">
        <f t="shared" ca="1" si="6"/>
        <v>75</v>
      </c>
      <c r="D74">
        <f ca="1">$B$2 * (1 - $D$2/2 + (RAND()+ROW()/100000 + $H$2/1000 + $H$2/1000) * $D$2)</f>
        <v>0.68601777927340835</v>
      </c>
      <c r="E74">
        <f t="shared" ca="1" si="7"/>
        <v>0.72884408408419388</v>
      </c>
      <c r="F74">
        <f t="shared" ca="1" si="8"/>
        <v>10825</v>
      </c>
      <c r="G74">
        <f t="shared" ca="1" si="9"/>
        <v>113.18152702647821</v>
      </c>
      <c r="J74">
        <f t="shared" si="10"/>
        <v>73</v>
      </c>
      <c r="K74">
        <v>100.74803120111999</v>
      </c>
    </row>
    <row r="75" spans="1:11" x14ac:dyDescent="0.35">
      <c r="A75" t="str">
        <f ca="1">_xlfn.LET(_xlpm.r, RAND()+ROW()/100000 + $H$2/1000 + $H$2/1000,
 IF(_xlpm.r&lt;$B$5,"Small",
 IF(_xlpm.r&lt;$B$5+$B$6,"Medium","Large")))</f>
        <v>Medium</v>
      </c>
      <c r="B75">
        <f t="shared" ca="1" si="1"/>
        <v>500</v>
      </c>
      <c r="C75">
        <f t="shared" ca="1" si="6"/>
        <v>200</v>
      </c>
      <c r="D75">
        <f ca="1">$B$2 * (1 - $D$2/2 + (RAND()+ROW()/100000 + $H$2/1000 + $H$2/1000) * $D$2)</f>
        <v>0.64380411510918378</v>
      </c>
      <c r="E75">
        <f t="shared" ca="1" si="7"/>
        <v>2.5887791450106126</v>
      </c>
      <c r="F75">
        <f t="shared" ca="1" si="8"/>
        <v>11025</v>
      </c>
      <c r="G75">
        <f t="shared" ca="1" si="9"/>
        <v>115.77030617148883</v>
      </c>
      <c r="J75">
        <f t="shared" si="10"/>
        <v>74</v>
      </c>
      <c r="K75">
        <v>99.872219897631751</v>
      </c>
    </row>
    <row r="76" spans="1:11" x14ac:dyDescent="0.35">
      <c r="A76" t="str">
        <f ca="1">_xlfn.LET(_xlpm.r, RAND()+ROW()/100000 + $H$2/1000 + $H$2/1000,
 IF(_xlpm.r&lt;$B$5,"Small",
 IF(_xlpm.r&lt;$B$5+$B$6,"Medium","Large")))</f>
        <v>Small</v>
      </c>
      <c r="B76">
        <f t="shared" ref="B76:B100" ca="1" si="11">IF(A76="Small",$C$5,IF(A76="Medium",$C$6,$C$7))</f>
        <v>150</v>
      </c>
      <c r="C76">
        <f t="shared" ca="1" si="6"/>
        <v>75</v>
      </c>
      <c r="D76">
        <f ca="1">$B$2 * (1 - $D$2/2 + (RAND()+ROW()/100000 + $H$2/1000 + $H$2/1000) * $D$2)</f>
        <v>0.71569308575194546</v>
      </c>
      <c r="E76">
        <f t="shared" ca="1" si="7"/>
        <v>0.69862348813202968</v>
      </c>
      <c r="F76">
        <f t="shared" ca="1" si="8"/>
        <v>11100</v>
      </c>
      <c r="G76">
        <f t="shared" ca="1" si="9"/>
        <v>116.46892965962085</v>
      </c>
      <c r="J76">
        <f t="shared" si="10"/>
        <v>75</v>
      </c>
      <c r="K76">
        <v>95.826061000182037</v>
      </c>
    </row>
    <row r="77" spans="1:11" x14ac:dyDescent="0.35">
      <c r="A77" t="str">
        <f ca="1">_xlfn.LET(_xlpm.r, RAND()+ROW()/100000 + $H$2/1000 + $H$2/1000,
 IF(_xlpm.r&lt;$B$5,"Small",
 IF(_xlpm.r&lt;$B$5+$B$6,"Medium","Large")))</f>
        <v>Small</v>
      </c>
      <c r="B77">
        <f t="shared" ca="1" si="11"/>
        <v>150</v>
      </c>
      <c r="C77">
        <f t="shared" ca="1" si="6"/>
        <v>75</v>
      </c>
      <c r="D77">
        <f ca="1">$B$2 * (1 - $D$2/2 + (RAND()+ROW()/100000 + $H$2/1000 + $H$2/1000) * $D$2)</f>
        <v>0.75226669805762858</v>
      </c>
      <c r="E77">
        <f t="shared" ca="1" si="7"/>
        <v>0.6646578949872598</v>
      </c>
      <c r="F77">
        <f t="shared" ca="1" si="8"/>
        <v>11175</v>
      </c>
      <c r="G77">
        <f t="shared" ca="1" si="9"/>
        <v>117.13358755460811</v>
      </c>
      <c r="J77">
        <f t="shared" si="10"/>
        <v>76</v>
      </c>
      <c r="K77">
        <v>98.668565434409501</v>
      </c>
    </row>
    <row r="78" spans="1:11" x14ac:dyDescent="0.35">
      <c r="A78" t="str">
        <f ca="1">_xlfn.LET(_xlpm.r, RAND()+ROW()/100000 + $H$2/1000 + $H$2/1000,
 IF(_xlpm.r&lt;$B$5,"Small",
 IF(_xlpm.r&lt;$B$5+$B$6,"Medium","Large")))</f>
        <v>Small</v>
      </c>
      <c r="B78">
        <f t="shared" ca="1" si="11"/>
        <v>150</v>
      </c>
      <c r="C78">
        <f t="shared" ca="1" si="6"/>
        <v>75</v>
      </c>
      <c r="D78">
        <f ca="1">$B$2 * (1 - $D$2/2 + (RAND()+ROW()/100000 + $H$2/1000 + $H$2/1000) * $D$2)</f>
        <v>0.59902891837822692</v>
      </c>
      <c r="E78">
        <f t="shared" ca="1" si="7"/>
        <v>0.8346842442159027</v>
      </c>
      <c r="F78">
        <f t="shared" ca="1" si="8"/>
        <v>11250</v>
      </c>
      <c r="G78">
        <f t="shared" ca="1" si="9"/>
        <v>117.96827179882402</v>
      </c>
      <c r="J78">
        <f t="shared" si="10"/>
        <v>77</v>
      </c>
      <c r="K78">
        <v>101.28353099688491</v>
      </c>
    </row>
    <row r="79" spans="1:11" x14ac:dyDescent="0.35">
      <c r="A79" t="str">
        <f ca="1">_xlfn.LET(_xlpm.r, RAND()+ROW()/100000 + $H$2/1000 + $H$2/1000,
 IF(_xlpm.r&lt;$B$5,"Small",
 IF(_xlpm.r&lt;$B$5+$B$6,"Medium","Large")))</f>
        <v>Small</v>
      </c>
      <c r="B79">
        <f t="shared" ca="1" si="11"/>
        <v>150</v>
      </c>
      <c r="C79">
        <f t="shared" ca="1" si="6"/>
        <v>75</v>
      </c>
      <c r="D79">
        <f ca="1">$B$2 * (1 - $D$2/2 + (RAND()+ROW()/100000 + $H$2/1000 + $H$2/1000) * $D$2)</f>
        <v>0.63753227121816569</v>
      </c>
      <c r="E79">
        <f t="shared" ca="1" si="7"/>
        <v>0.78427402434801352</v>
      </c>
      <c r="F79">
        <f t="shared" ca="1" si="8"/>
        <v>11325</v>
      </c>
      <c r="G79">
        <f t="shared" ca="1" si="9"/>
        <v>118.75254582317203</v>
      </c>
      <c r="J79">
        <f t="shared" si="10"/>
        <v>78</v>
      </c>
      <c r="K79">
        <v>100.82954218541121</v>
      </c>
    </row>
    <row r="80" spans="1:11" x14ac:dyDescent="0.35">
      <c r="A80" t="str">
        <f ca="1">_xlfn.LET(_xlpm.r, RAND()+ROW()/100000 + $H$2/1000 + $H$2/1000,
 IF(_xlpm.r&lt;$B$5,"Small",
 IF(_xlpm.r&lt;$B$5+$B$6,"Medium","Large")))</f>
        <v>Medium</v>
      </c>
      <c r="B80">
        <f t="shared" ca="1" si="11"/>
        <v>500</v>
      </c>
      <c r="C80">
        <f t="shared" ca="1" si="6"/>
        <v>200</v>
      </c>
      <c r="D80">
        <f ca="1">$B$2 * (1 - $D$2/2 + (RAND()+ROW()/100000 + $H$2/1000 + $H$2/1000) * $D$2)</f>
        <v>0.6474298337019192</v>
      </c>
      <c r="E80">
        <f t="shared" ca="1" si="7"/>
        <v>2.5742815358644879</v>
      </c>
      <c r="F80">
        <f t="shared" ca="1" si="8"/>
        <v>11525</v>
      </c>
      <c r="G80">
        <f t="shared" ca="1" si="9"/>
        <v>121.32682735903651</v>
      </c>
      <c r="J80">
        <f t="shared" si="10"/>
        <v>79</v>
      </c>
      <c r="K80">
        <v>98.596014764082511</v>
      </c>
    </row>
    <row r="81" spans="1:11" x14ac:dyDescent="0.35">
      <c r="A81" t="str">
        <f ca="1">_xlfn.LET(_xlpm.r, RAND()+ROW()/100000 + $H$2/1000 + $H$2/1000,
 IF(_xlpm.r&lt;$B$5,"Small",
 IF(_xlpm.r&lt;$B$5+$B$6,"Medium","Large")))</f>
        <v>Small</v>
      </c>
      <c r="B81">
        <f t="shared" ca="1" si="11"/>
        <v>150</v>
      </c>
      <c r="C81">
        <f t="shared" ca="1" si="6"/>
        <v>75</v>
      </c>
      <c r="D81">
        <f ca="1">$B$2 * (1 - $D$2/2 + (RAND()+ROW()/100000 + $H$2/1000 + $H$2/1000) * $D$2)</f>
        <v>0.73047349381727167</v>
      </c>
      <c r="E81">
        <f t="shared" ca="1" si="7"/>
        <v>0.6844875334040188</v>
      </c>
      <c r="F81">
        <f t="shared" ca="1" si="8"/>
        <v>11600</v>
      </c>
      <c r="G81">
        <f t="shared" ca="1" si="9"/>
        <v>122.01131489244054</v>
      </c>
      <c r="J81">
        <f t="shared" si="10"/>
        <v>80</v>
      </c>
      <c r="K81">
        <v>99.386610261384362</v>
      </c>
    </row>
    <row r="82" spans="1:11" x14ac:dyDescent="0.35">
      <c r="A82" t="str">
        <f ca="1">_xlfn.LET(_xlpm.r, RAND()+ROW()/100000 + $H$2/1000 + $H$2/1000,
 IF(_xlpm.r&lt;$B$5,"Small",
 IF(_xlpm.r&lt;$B$5+$B$6,"Medium","Large")))</f>
        <v>Small</v>
      </c>
      <c r="B82">
        <f t="shared" ca="1" si="11"/>
        <v>150</v>
      </c>
      <c r="C82">
        <f t="shared" ca="1" si="6"/>
        <v>75</v>
      </c>
      <c r="D82">
        <f ca="1">$B$2 * (1 - $D$2/2 + (RAND()+ROW()/100000 + $H$2/1000 + $H$2/1000) * $D$2)</f>
        <v>0.7470273523389146</v>
      </c>
      <c r="E82">
        <f t="shared" ca="1" si="7"/>
        <v>0.66931953486645279</v>
      </c>
      <c r="F82">
        <f t="shared" ca="1" si="8"/>
        <v>11675</v>
      </c>
      <c r="G82">
        <f t="shared" ca="1" si="9"/>
        <v>122.68063442730698</v>
      </c>
      <c r="J82">
        <f t="shared" si="10"/>
        <v>81</v>
      </c>
      <c r="K82">
        <v>100.52930720160622</v>
      </c>
    </row>
    <row r="83" spans="1:11" x14ac:dyDescent="0.35">
      <c r="A83" t="str">
        <f ca="1">_xlfn.LET(_xlpm.r, RAND()+ROW()/100000 + $H$2/1000 + $H$2/1000,
 IF(_xlpm.r&lt;$B$5,"Small",
 IF(_xlpm.r&lt;$B$5+$B$6,"Medium","Large")))</f>
        <v>Medium</v>
      </c>
      <c r="B83">
        <f t="shared" ca="1" si="11"/>
        <v>500</v>
      </c>
      <c r="C83">
        <f t="shared" ref="C83:C100" ca="1" si="12">IF(A83="Small",$D$5,IF(A83="Medium",$D$6,$D$7))</f>
        <v>200</v>
      </c>
      <c r="D83">
        <f ca="1">$B$2 * (1 - $D$2/2 + (RAND()+ROW()/100000 + $H$2/1000 + $H$2/1000) * $D$2)</f>
        <v>0.76463689857306627</v>
      </c>
      <c r="E83">
        <f t="shared" ref="E83:E100" ca="1" si="13">B83 / ($A$2 * D83)</f>
        <v>2.1796838078007106</v>
      </c>
      <c r="F83">
        <f t="shared" ref="F83:F100" ca="1" si="14">F82 + C83</f>
        <v>11875</v>
      </c>
      <c r="G83">
        <f t="shared" ref="G83:G100" ca="1" si="15">G82 + E83</f>
        <v>124.8603182351077</v>
      </c>
      <c r="J83">
        <f t="shared" si="10"/>
        <v>82</v>
      </c>
      <c r="K83">
        <v>97.803756716222949</v>
      </c>
    </row>
    <row r="84" spans="1:11" x14ac:dyDescent="0.35">
      <c r="A84" t="str">
        <f ca="1">_xlfn.LET(_xlpm.r, RAND()+ROW()/100000 + $H$2/1000 + $H$2/1000,
 IF(_xlpm.r&lt;$B$5,"Small",
 IF(_xlpm.r&lt;$B$5+$B$6,"Medium","Large")))</f>
        <v>Medium</v>
      </c>
      <c r="B84">
        <f t="shared" ca="1" si="11"/>
        <v>500</v>
      </c>
      <c r="C84">
        <f t="shared" ca="1" si="12"/>
        <v>200</v>
      </c>
      <c r="D84">
        <f ca="1">$B$2 * (1 - $D$2/2 + (RAND()+ROW()/100000 + $H$2/1000 + $H$2/1000) * $D$2)</f>
        <v>0.65220966869334107</v>
      </c>
      <c r="E84">
        <f t="shared" ca="1" si="13"/>
        <v>2.5554154540605372</v>
      </c>
      <c r="F84">
        <f t="shared" ca="1" si="14"/>
        <v>12075</v>
      </c>
      <c r="G84">
        <f t="shared" ca="1" si="15"/>
        <v>127.41573368916823</v>
      </c>
      <c r="J84">
        <f t="shared" si="10"/>
        <v>83</v>
      </c>
      <c r="K84">
        <v>98.366186135982502</v>
      </c>
    </row>
    <row r="85" spans="1:11" x14ac:dyDescent="0.35">
      <c r="A85" t="str">
        <f ca="1">_xlfn.LET(_xlpm.r, RAND()+ROW()/100000 + $H$2/1000 + $H$2/1000,
 IF(_xlpm.r&lt;$B$5,"Small",
 IF(_xlpm.r&lt;$B$5+$B$6,"Medium","Large")))</f>
        <v>Small</v>
      </c>
      <c r="B85">
        <f t="shared" ca="1" si="11"/>
        <v>150</v>
      </c>
      <c r="C85">
        <f t="shared" ca="1" si="12"/>
        <v>75</v>
      </c>
      <c r="D85">
        <f ca="1">$B$2 * (1 - $D$2/2 + (RAND()+ROW()/100000 + $H$2/1000 + $H$2/1000) * $D$2)</f>
        <v>0.71101327490558497</v>
      </c>
      <c r="E85">
        <f t="shared" ca="1" si="13"/>
        <v>0.70322175077025773</v>
      </c>
      <c r="F85">
        <f t="shared" ca="1" si="14"/>
        <v>12150</v>
      </c>
      <c r="G85">
        <f t="shared" ca="1" si="15"/>
        <v>128.1189554399385</v>
      </c>
      <c r="J85">
        <f t="shared" si="10"/>
        <v>84</v>
      </c>
      <c r="K85">
        <v>99.953102835501781</v>
      </c>
    </row>
    <row r="86" spans="1:11" x14ac:dyDescent="0.35">
      <c r="A86" t="str">
        <f ca="1">_xlfn.LET(_xlpm.r, RAND()+ROW()/100000 + $H$2/1000 + $H$2/1000,
 IF(_xlpm.r&lt;$B$5,"Small",
 IF(_xlpm.r&lt;$B$5+$B$6,"Medium","Large")))</f>
        <v>Large</v>
      </c>
      <c r="B86">
        <f t="shared" ca="1" si="11"/>
        <v>1000</v>
      </c>
      <c r="C86">
        <f t="shared" ca="1" si="12"/>
        <v>500</v>
      </c>
      <c r="D86">
        <f ca="1">$B$2 * (1 - $D$2/2 + (RAND()+ROW()/100000 + $H$2/1000 + $H$2/1000) * $D$2)</f>
        <v>0.74934397973879585</v>
      </c>
      <c r="E86">
        <f t="shared" ca="1" si="13"/>
        <v>4.4483353752908741</v>
      </c>
      <c r="F86">
        <f t="shared" ca="1" si="14"/>
        <v>12650</v>
      </c>
      <c r="G86">
        <f t="shared" ca="1" si="15"/>
        <v>132.56729081522937</v>
      </c>
      <c r="J86">
        <f t="shared" si="10"/>
        <v>85</v>
      </c>
      <c r="K86">
        <v>97.581938674865299</v>
      </c>
    </row>
    <row r="87" spans="1:11" x14ac:dyDescent="0.35">
      <c r="A87" t="str">
        <f ca="1">_xlfn.LET(_xlpm.r, RAND()+ROW()/100000 + $H$2/1000 + $H$2/1000,
 IF(_xlpm.r&lt;$B$5,"Small",
 IF(_xlpm.r&lt;$B$5+$B$6,"Medium","Large")))</f>
        <v>Small</v>
      </c>
      <c r="B87">
        <f t="shared" ca="1" si="11"/>
        <v>150</v>
      </c>
      <c r="C87">
        <f t="shared" ca="1" si="12"/>
        <v>75</v>
      </c>
      <c r="D87">
        <f ca="1">$B$2 * (1 - $D$2/2 + (RAND()+ROW()/100000 + $H$2/1000 + $H$2/1000) * $D$2)</f>
        <v>0.79250185293736253</v>
      </c>
      <c r="E87">
        <f t="shared" ca="1" si="13"/>
        <v>0.63091335136539906</v>
      </c>
      <c r="F87">
        <f t="shared" ca="1" si="14"/>
        <v>12725</v>
      </c>
      <c r="G87">
        <f t="shared" ca="1" si="15"/>
        <v>133.19820416659476</v>
      </c>
      <c r="J87">
        <f t="shared" si="10"/>
        <v>86</v>
      </c>
      <c r="K87">
        <v>94.925463679242213</v>
      </c>
    </row>
    <row r="88" spans="1:11" x14ac:dyDescent="0.35">
      <c r="A88" t="str">
        <f ca="1">_xlfn.LET(_xlpm.r, RAND()+ROW()/100000 + $H$2/1000 + $H$2/1000,
 IF(_xlpm.r&lt;$B$5,"Small",
 IF(_xlpm.r&lt;$B$5+$B$6,"Medium","Large")))</f>
        <v>Medium</v>
      </c>
      <c r="B88">
        <f t="shared" ca="1" si="11"/>
        <v>500</v>
      </c>
      <c r="C88">
        <f t="shared" ca="1" si="12"/>
        <v>200</v>
      </c>
      <c r="D88">
        <f ca="1">$B$2 * (1 - $D$2/2 + (RAND()+ROW()/100000 + $H$2/1000 + $H$2/1000) * $D$2)</f>
        <v>0.68769369802502212</v>
      </c>
      <c r="E88">
        <f t="shared" ca="1" si="13"/>
        <v>2.4235596043022398</v>
      </c>
      <c r="F88">
        <f t="shared" ca="1" si="14"/>
        <v>12925</v>
      </c>
      <c r="G88">
        <f t="shared" ca="1" si="15"/>
        <v>135.62176377089699</v>
      </c>
      <c r="J88">
        <f t="shared" si="10"/>
        <v>87</v>
      </c>
      <c r="K88">
        <v>95.838450154020549</v>
      </c>
    </row>
    <row r="89" spans="1:11" x14ac:dyDescent="0.35">
      <c r="A89" t="str">
        <f ca="1">_xlfn.LET(_xlpm.r, RAND()+ROW()/100000 + $H$2/1000 + $H$2/1000,
 IF(_xlpm.r&lt;$B$5,"Small",
 IF(_xlpm.r&lt;$B$5+$B$6,"Medium","Large")))</f>
        <v>Small</v>
      </c>
      <c r="B89">
        <f t="shared" ca="1" si="11"/>
        <v>150</v>
      </c>
      <c r="C89">
        <f t="shared" ca="1" si="12"/>
        <v>75</v>
      </c>
      <c r="D89">
        <f ca="1">$B$2 * (1 - $D$2/2 + (RAND()+ROW()/100000 + $H$2/1000 + $H$2/1000) * $D$2)</f>
        <v>0.73889764926316326</v>
      </c>
      <c r="E89">
        <f t="shared" ca="1" si="13"/>
        <v>0.67668370646273601</v>
      </c>
      <c r="F89">
        <f t="shared" ca="1" si="14"/>
        <v>13000</v>
      </c>
      <c r="G89">
        <f t="shared" ca="1" si="15"/>
        <v>136.29844747735973</v>
      </c>
      <c r="J89">
        <f t="shared" si="10"/>
        <v>88</v>
      </c>
      <c r="K89">
        <v>95.85181111202462</v>
      </c>
    </row>
    <row r="90" spans="1:11" x14ac:dyDescent="0.35">
      <c r="A90" t="str">
        <f ca="1">_xlfn.LET(_xlpm.r, RAND()+ROW()/100000 + $H$2/1000 + $H$2/1000,
 IF(_xlpm.r&lt;$B$5,"Small",
 IF(_xlpm.r&lt;$B$5+$B$6,"Medium","Large")))</f>
        <v>Small</v>
      </c>
      <c r="B90">
        <f t="shared" ca="1" si="11"/>
        <v>150</v>
      </c>
      <c r="C90">
        <f t="shared" ca="1" si="12"/>
        <v>75</v>
      </c>
      <c r="D90">
        <f ca="1">$B$2 * (1 - $D$2/2 + (RAND()+ROW()/100000 + $H$2/1000 + $H$2/1000) * $D$2)</f>
        <v>0.78505265220585252</v>
      </c>
      <c r="E90">
        <f t="shared" ca="1" si="13"/>
        <v>0.63689995644889885</v>
      </c>
      <c r="F90">
        <f t="shared" ca="1" si="14"/>
        <v>13075</v>
      </c>
      <c r="G90">
        <f t="shared" ca="1" si="15"/>
        <v>136.93534743380863</v>
      </c>
      <c r="J90">
        <f t="shared" si="10"/>
        <v>89</v>
      </c>
      <c r="K90">
        <v>100.4549612950737</v>
      </c>
    </row>
    <row r="91" spans="1:11" x14ac:dyDescent="0.35">
      <c r="A91" t="str">
        <f ca="1">_xlfn.LET(_xlpm.r, RAND()+ROW()/100000 + $H$2/1000 + $H$2/1000,
 IF(_xlpm.r&lt;$B$5,"Small",
 IF(_xlpm.r&lt;$B$5+$B$6,"Medium","Large")))</f>
        <v>Small</v>
      </c>
      <c r="B91">
        <f t="shared" ca="1" si="11"/>
        <v>150</v>
      </c>
      <c r="C91">
        <f t="shared" ca="1" si="12"/>
        <v>75</v>
      </c>
      <c r="D91">
        <f ca="1">$B$2 * (1 - $D$2/2 + (RAND()+ROW()/100000 + $H$2/1000 + $H$2/1000) * $D$2)</f>
        <v>0.76343687327168752</v>
      </c>
      <c r="E91">
        <f t="shared" ca="1" si="13"/>
        <v>0.65493299774382641</v>
      </c>
      <c r="F91">
        <f t="shared" ca="1" si="14"/>
        <v>13150</v>
      </c>
      <c r="G91">
        <f t="shared" ca="1" si="15"/>
        <v>137.59028043155246</v>
      </c>
      <c r="J91">
        <f t="shared" si="10"/>
        <v>90</v>
      </c>
      <c r="K91">
        <v>97.625585444668758</v>
      </c>
    </row>
    <row r="92" spans="1:11" x14ac:dyDescent="0.35">
      <c r="A92" t="str">
        <f ca="1">_xlfn.LET(_xlpm.r, RAND()+ROW()/100000 + $H$2/1000 + $H$2/1000,
 IF(_xlpm.r&lt;$B$5,"Small",
 IF(_xlpm.r&lt;$B$5+$B$6,"Medium","Large")))</f>
        <v>Small</v>
      </c>
      <c r="B92">
        <f t="shared" ca="1" si="11"/>
        <v>150</v>
      </c>
      <c r="C92">
        <f t="shared" ca="1" si="12"/>
        <v>75</v>
      </c>
      <c r="D92">
        <f ca="1">$B$2 * (1 - $D$2/2 + (RAND()+ROW()/100000 + $H$2/1000 + $H$2/1000) * $D$2)</f>
        <v>0.78810101524961573</v>
      </c>
      <c r="E92">
        <f t="shared" ca="1" si="13"/>
        <v>0.63443643685909312</v>
      </c>
      <c r="F92">
        <f t="shared" ca="1" si="14"/>
        <v>13225</v>
      </c>
      <c r="G92">
        <f t="shared" ca="1" si="15"/>
        <v>138.22471686841155</v>
      </c>
      <c r="J92">
        <f t="shared" si="10"/>
        <v>91</v>
      </c>
      <c r="K92">
        <v>97.381986393113763</v>
      </c>
    </row>
    <row r="93" spans="1:11" x14ac:dyDescent="0.35">
      <c r="A93" t="str">
        <f ca="1">_xlfn.LET(_xlpm.r, RAND()+ROW()/100000 + $H$2/1000 + $H$2/1000,
 IF(_xlpm.r&lt;$B$5,"Small",
 IF(_xlpm.r&lt;$B$5+$B$6,"Medium","Large")))</f>
        <v>Small</v>
      </c>
      <c r="B93">
        <f t="shared" ca="1" si="11"/>
        <v>150</v>
      </c>
      <c r="C93">
        <f t="shared" ca="1" si="12"/>
        <v>75</v>
      </c>
      <c r="D93">
        <f ca="1">$B$2 * (1 - $D$2/2 + (RAND()+ROW()/100000 + $H$2/1000 + $H$2/1000) * $D$2)</f>
        <v>0.69688875352023183</v>
      </c>
      <c r="E93">
        <f t="shared" ca="1" si="13"/>
        <v>0.71747462916329618</v>
      </c>
      <c r="F93">
        <f t="shared" ca="1" si="14"/>
        <v>13300</v>
      </c>
      <c r="G93">
        <f t="shared" ca="1" si="15"/>
        <v>138.94219149757484</v>
      </c>
      <c r="J93">
        <f t="shared" si="10"/>
        <v>92</v>
      </c>
      <c r="K93">
        <v>99.587616149824825</v>
      </c>
    </row>
    <row r="94" spans="1:11" x14ac:dyDescent="0.35">
      <c r="A94" t="str">
        <f ca="1">_xlfn.LET(_xlpm.r, RAND()+ROW()/100000 + $H$2/1000 + $H$2/1000,
 IF(_xlpm.r&lt;$B$5,"Small",
 IF(_xlpm.r&lt;$B$5+$B$6,"Medium","Large")))</f>
        <v>Medium</v>
      </c>
      <c r="B94">
        <f t="shared" ca="1" si="11"/>
        <v>500</v>
      </c>
      <c r="C94">
        <f t="shared" ca="1" si="12"/>
        <v>200</v>
      </c>
      <c r="D94">
        <f ca="1">$B$2 * (1 - $D$2/2 + (RAND()+ROW()/100000 + $H$2/1000 + $H$2/1000) * $D$2)</f>
        <v>0.72132019481237508</v>
      </c>
      <c r="E94">
        <f t="shared" ca="1" si="13"/>
        <v>2.3105781297308456</v>
      </c>
      <c r="F94">
        <f t="shared" ca="1" si="14"/>
        <v>13500</v>
      </c>
      <c r="G94">
        <f t="shared" ca="1" si="15"/>
        <v>141.2527696273057</v>
      </c>
      <c r="J94">
        <f t="shared" si="10"/>
        <v>93</v>
      </c>
      <c r="K94">
        <v>96.801427269910562</v>
      </c>
    </row>
    <row r="95" spans="1:11" x14ac:dyDescent="0.35">
      <c r="A95" t="str">
        <f ca="1">_xlfn.LET(_xlpm.r, RAND()+ROW()/100000 + $H$2/1000 + $H$2/1000,
 IF(_xlpm.r&lt;$B$5,"Small",
 IF(_xlpm.r&lt;$B$5+$B$6,"Medium","Large")))</f>
        <v>Large</v>
      </c>
      <c r="B95">
        <f t="shared" ca="1" si="11"/>
        <v>1000</v>
      </c>
      <c r="C95">
        <f t="shared" ca="1" si="12"/>
        <v>500</v>
      </c>
      <c r="D95">
        <f ca="1">$B$2 * (1 - $D$2/2 + (RAND()+ROW()/100000 + $H$2/1000 + $H$2/1000) * $D$2)</f>
        <v>0.61249109691950687</v>
      </c>
      <c r="E95">
        <f t="shared" ca="1" si="13"/>
        <v>5.4422559774307997</v>
      </c>
      <c r="F95">
        <f t="shared" ca="1" si="14"/>
        <v>14000</v>
      </c>
      <c r="G95">
        <f t="shared" ca="1" si="15"/>
        <v>146.69502560473649</v>
      </c>
      <c r="J95">
        <f t="shared" si="10"/>
        <v>94</v>
      </c>
      <c r="K95">
        <v>96.587563485389424</v>
      </c>
    </row>
    <row r="96" spans="1:11" x14ac:dyDescent="0.35">
      <c r="A96" t="str">
        <f ca="1">_xlfn.LET(_xlpm.r, RAND()+ROW()/100000 + $H$2/1000 + $H$2/1000,
 IF(_xlpm.r&lt;$B$5,"Small",
 IF(_xlpm.r&lt;$B$5+$B$6,"Medium","Large")))</f>
        <v>Small</v>
      </c>
      <c r="B96">
        <f t="shared" ca="1" si="11"/>
        <v>150</v>
      </c>
      <c r="C96">
        <f t="shared" ca="1" si="12"/>
        <v>75</v>
      </c>
      <c r="D96">
        <f ca="1">$B$2 * (1 - $D$2/2 + (RAND()+ROW()/100000 + $H$2/1000 + $H$2/1000) * $D$2)</f>
        <v>0.65907753262795143</v>
      </c>
      <c r="E96">
        <f t="shared" ca="1" si="13"/>
        <v>0.75863608641966784</v>
      </c>
      <c r="F96">
        <f t="shared" ca="1" si="14"/>
        <v>14075</v>
      </c>
      <c r="G96">
        <f t="shared" ca="1" si="15"/>
        <v>147.45366169115616</v>
      </c>
      <c r="J96">
        <f t="shared" si="10"/>
        <v>95</v>
      </c>
      <c r="K96">
        <v>100.70600492183665</v>
      </c>
    </row>
    <row r="97" spans="1:11" x14ac:dyDescent="0.35">
      <c r="A97" t="str">
        <f ca="1">_xlfn.LET(_xlpm.r, RAND()+ROW()/100000 + $H$2/1000 + $H$2/1000,
 IF(_xlpm.r&lt;$B$5,"Small",
 IF(_xlpm.r&lt;$B$5+$B$6,"Medium","Large")))</f>
        <v>Medium</v>
      </c>
      <c r="B97">
        <f t="shared" ca="1" si="11"/>
        <v>500</v>
      </c>
      <c r="C97">
        <f t="shared" ca="1" si="12"/>
        <v>200</v>
      </c>
      <c r="D97">
        <f ca="1">$B$2 * (1 - $D$2/2 + (RAND()+ROW()/100000 + $H$2/1000 + $H$2/1000) * $D$2)</f>
        <v>0.59814125117439521</v>
      </c>
      <c r="E97">
        <f t="shared" ca="1" si="13"/>
        <v>2.7864098378005537</v>
      </c>
      <c r="F97">
        <f t="shared" ca="1" si="14"/>
        <v>14275</v>
      </c>
      <c r="G97">
        <f t="shared" ca="1" si="15"/>
        <v>150.24007152895672</v>
      </c>
      <c r="J97">
        <f t="shared" si="10"/>
        <v>96</v>
      </c>
      <c r="K97">
        <v>94.950403962570931</v>
      </c>
    </row>
    <row r="98" spans="1:11" x14ac:dyDescent="0.35">
      <c r="A98" t="str">
        <f ca="1">_xlfn.LET(_xlpm.r, RAND()+ROW()/100000 + $H$2/1000 + $H$2/1000,
 IF(_xlpm.r&lt;$B$5,"Small",
 IF(_xlpm.r&lt;$B$5+$B$6,"Medium","Large")))</f>
        <v>Medium</v>
      </c>
      <c r="B98">
        <f t="shared" ca="1" si="11"/>
        <v>500</v>
      </c>
      <c r="C98">
        <f t="shared" ca="1" si="12"/>
        <v>200</v>
      </c>
      <c r="D98">
        <f ca="1">$B$2 * (1 - $D$2/2 + (RAND()+ROW()/100000 + $H$2/1000 + $H$2/1000) * $D$2)</f>
        <v>0.71104116754850244</v>
      </c>
      <c r="E98">
        <f t="shared" ca="1" si="13"/>
        <v>2.3439805495551393</v>
      </c>
      <c r="F98">
        <f t="shared" ca="1" si="14"/>
        <v>14475</v>
      </c>
      <c r="G98">
        <f t="shared" ca="1" si="15"/>
        <v>152.58405207851186</v>
      </c>
      <c r="J98">
        <f t="shared" si="10"/>
        <v>97</v>
      </c>
      <c r="K98">
        <v>99.498309350705682</v>
      </c>
    </row>
    <row r="99" spans="1:11" x14ac:dyDescent="0.35">
      <c r="A99" t="str">
        <f ca="1">_xlfn.LET(_xlpm.r, RAND()+ROW()/100000 + $H$2/1000 + $H$2/1000,
 IF(_xlpm.r&lt;$B$5,"Small",
 IF(_xlpm.r&lt;$B$5+$B$6,"Medium","Large")))</f>
        <v>Small</v>
      </c>
      <c r="B99">
        <f t="shared" ca="1" si="11"/>
        <v>150</v>
      </c>
      <c r="C99">
        <f t="shared" ca="1" si="12"/>
        <v>75</v>
      </c>
      <c r="D99">
        <f ca="1">$B$2 * (1 - $D$2/2 + (RAND()+ROW()/100000 + $H$2/1000 + $H$2/1000) * $D$2)</f>
        <v>0.65363935879109314</v>
      </c>
      <c r="E99">
        <f t="shared" ca="1" si="13"/>
        <v>0.76494781606289841</v>
      </c>
      <c r="F99">
        <f t="shared" ca="1" si="14"/>
        <v>14550</v>
      </c>
      <c r="G99">
        <f t="shared" ca="1" si="15"/>
        <v>153.34899989457475</v>
      </c>
      <c r="J99">
        <f t="shared" si="10"/>
        <v>98</v>
      </c>
      <c r="K99">
        <v>93.622857181057313</v>
      </c>
    </row>
    <row r="100" spans="1:11" x14ac:dyDescent="0.35">
      <c r="A100" t="str">
        <f ca="1">_xlfn.LET(_xlpm.r, RAND()+ROW()/100000 + $H$2/1000 + $H$2/1000,
 IF(_xlpm.r&lt;$B$5,"Small",
 IF(_xlpm.r&lt;$B$5+$B$6,"Medium","Large")))</f>
        <v>Large</v>
      </c>
      <c r="B100">
        <f t="shared" ca="1" si="11"/>
        <v>1000</v>
      </c>
      <c r="C100">
        <f t="shared" ca="1" si="12"/>
        <v>500</v>
      </c>
      <c r="D100">
        <f ca="1">$B$2 * (1 - $D$2/2 + (RAND()+ROW()/100000 + $H$2/1000 + $H$2/1000) * $D$2)</f>
        <v>0.6413523536074881</v>
      </c>
      <c r="E100">
        <f t="shared" ca="1" si="13"/>
        <v>5.1973510576268271</v>
      </c>
      <c r="F100">
        <f t="shared" ca="1" si="14"/>
        <v>15050</v>
      </c>
      <c r="G100">
        <f t="shared" ca="1" si="15"/>
        <v>158.54635095220158</v>
      </c>
      <c r="J100">
        <f t="shared" si="10"/>
        <v>99</v>
      </c>
      <c r="K100">
        <v>96.612844748464966</v>
      </c>
    </row>
    <row r="101" spans="1:11" x14ac:dyDescent="0.35">
      <c r="J101">
        <f t="shared" si="10"/>
        <v>100</v>
      </c>
      <c r="K101">
        <v>99.626291330952967</v>
      </c>
    </row>
    <row r="102" spans="1:11" x14ac:dyDescent="0.35">
      <c r="J102">
        <f t="shared" si="10"/>
        <v>101</v>
      </c>
      <c r="K102">
        <v>95.305347130668167</v>
      </c>
    </row>
    <row r="103" spans="1:11" x14ac:dyDescent="0.35">
      <c r="J103">
        <f t="shared" si="10"/>
        <v>102</v>
      </c>
      <c r="K103">
        <v>98.15540192130122</v>
      </c>
    </row>
    <row r="104" spans="1:11" x14ac:dyDescent="0.35">
      <c r="J104">
        <f t="shared" si="10"/>
        <v>103</v>
      </c>
      <c r="K104">
        <v>95.579814407136951</v>
      </c>
    </row>
    <row r="105" spans="1:11" x14ac:dyDescent="0.35">
      <c r="J105">
        <f t="shared" si="10"/>
        <v>104</v>
      </c>
      <c r="K105">
        <v>94.521112026397603</v>
      </c>
    </row>
    <row r="106" spans="1:11" x14ac:dyDescent="0.35">
      <c r="J106">
        <f t="shared" si="10"/>
        <v>105</v>
      </c>
      <c r="K106">
        <v>101.66181184092075</v>
      </c>
    </row>
    <row r="107" spans="1:11" x14ac:dyDescent="0.35">
      <c r="J107">
        <f t="shared" si="10"/>
        <v>106</v>
      </c>
      <c r="K107">
        <v>99.464863827686713</v>
      </c>
    </row>
    <row r="108" spans="1:11" x14ac:dyDescent="0.35">
      <c r="J108">
        <f t="shared" si="10"/>
        <v>107</v>
      </c>
      <c r="K108">
        <v>98.442974616172236</v>
      </c>
    </row>
    <row r="109" spans="1:11" x14ac:dyDescent="0.35">
      <c r="J109">
        <f t="shared" si="10"/>
        <v>108</v>
      </c>
      <c r="K109">
        <v>97.019569822692375</v>
      </c>
    </row>
    <row r="110" spans="1:11" x14ac:dyDescent="0.35">
      <c r="J110">
        <f t="shared" si="10"/>
        <v>109</v>
      </c>
      <c r="K110">
        <v>102.53096167288295</v>
      </c>
    </row>
    <row r="111" spans="1:11" x14ac:dyDescent="0.35">
      <c r="J111">
        <f t="shared" si="10"/>
        <v>110</v>
      </c>
      <c r="K111">
        <v>95.956555976022287</v>
      </c>
    </row>
    <row r="112" spans="1:11" x14ac:dyDescent="0.35">
      <c r="J112">
        <f t="shared" si="10"/>
        <v>111</v>
      </c>
      <c r="K112">
        <v>93.979624239329965</v>
      </c>
    </row>
    <row r="113" spans="10:11" x14ac:dyDescent="0.35">
      <c r="J113">
        <f t="shared" si="10"/>
        <v>112</v>
      </c>
      <c r="K113">
        <v>95.280989420809703</v>
      </c>
    </row>
    <row r="114" spans="10:11" x14ac:dyDescent="0.35">
      <c r="J114">
        <f t="shared" si="10"/>
        <v>113</v>
      </c>
      <c r="K114">
        <v>96.963917751068294</v>
      </c>
    </row>
    <row r="115" spans="10:11" x14ac:dyDescent="0.35">
      <c r="J115">
        <f t="shared" si="10"/>
        <v>114</v>
      </c>
      <c r="K115">
        <v>99.479157606758093</v>
      </c>
    </row>
    <row r="116" spans="10:11" x14ac:dyDescent="0.35">
      <c r="J116">
        <f t="shared" si="10"/>
        <v>115</v>
      </c>
      <c r="K116">
        <v>96.336363153512551</v>
      </c>
    </row>
    <row r="117" spans="10:11" x14ac:dyDescent="0.35">
      <c r="J117">
        <f t="shared" si="10"/>
        <v>116</v>
      </c>
      <c r="K117">
        <v>97.20502511655431</v>
      </c>
    </row>
    <row r="118" spans="10:11" x14ac:dyDescent="0.35">
      <c r="J118">
        <f t="shared" si="10"/>
        <v>117</v>
      </c>
      <c r="K118">
        <v>93.1516298278341</v>
      </c>
    </row>
    <row r="119" spans="10:11" x14ac:dyDescent="0.35">
      <c r="J119">
        <f t="shared" si="10"/>
        <v>118</v>
      </c>
      <c r="K119">
        <v>95.569246048376556</v>
      </c>
    </row>
    <row r="120" spans="10:11" x14ac:dyDescent="0.35">
      <c r="J120">
        <f t="shared" si="10"/>
        <v>119</v>
      </c>
      <c r="K120">
        <v>95.836422751158338</v>
      </c>
    </row>
    <row r="121" spans="10:11" x14ac:dyDescent="0.35">
      <c r="J121">
        <f t="shared" si="10"/>
        <v>120</v>
      </c>
      <c r="K121">
        <v>96.147430852508492</v>
      </c>
    </row>
    <row r="122" spans="10:11" x14ac:dyDescent="0.35">
      <c r="J122">
        <f t="shared" si="10"/>
        <v>121</v>
      </c>
      <c r="K122">
        <v>91.961087448608254</v>
      </c>
    </row>
    <row r="123" spans="10:11" x14ac:dyDescent="0.35">
      <c r="J123">
        <f t="shared" si="10"/>
        <v>122</v>
      </c>
      <c r="K123">
        <v>95.733186852539561</v>
      </c>
    </row>
    <row r="124" spans="10:11" x14ac:dyDescent="0.35">
      <c r="J124">
        <f t="shared" si="10"/>
        <v>123</v>
      </c>
      <c r="K124">
        <v>100.13420732592814</v>
      </c>
    </row>
    <row r="125" spans="10:11" x14ac:dyDescent="0.35">
      <c r="J125">
        <f t="shared" si="10"/>
        <v>124</v>
      </c>
      <c r="K125">
        <v>103.59753892189119</v>
      </c>
    </row>
    <row r="126" spans="10:11" x14ac:dyDescent="0.35">
      <c r="J126">
        <f t="shared" si="10"/>
        <v>125</v>
      </c>
      <c r="K126">
        <v>98.284272281979128</v>
      </c>
    </row>
    <row r="127" spans="10:11" x14ac:dyDescent="0.35">
      <c r="J127">
        <f t="shared" si="10"/>
        <v>126</v>
      </c>
      <c r="K127">
        <v>99.114374446367904</v>
      </c>
    </row>
    <row r="128" spans="10:11" x14ac:dyDescent="0.35">
      <c r="J128">
        <f t="shared" si="10"/>
        <v>127</v>
      </c>
      <c r="K128">
        <v>99.103545337657238</v>
      </c>
    </row>
    <row r="129" spans="10:11" x14ac:dyDescent="0.35">
      <c r="J129">
        <f t="shared" si="10"/>
        <v>128</v>
      </c>
      <c r="K129">
        <v>103.49590445222421</v>
      </c>
    </row>
    <row r="130" spans="10:11" x14ac:dyDescent="0.35">
      <c r="J130">
        <f t="shared" si="10"/>
        <v>129</v>
      </c>
      <c r="K130">
        <v>99.017588715412415</v>
      </c>
    </row>
    <row r="131" spans="10:11" x14ac:dyDescent="0.35">
      <c r="J131">
        <f t="shared" si="10"/>
        <v>130</v>
      </c>
      <c r="K131">
        <v>93.625996175732269</v>
      </c>
    </row>
    <row r="132" spans="10:11" x14ac:dyDescent="0.35">
      <c r="J132">
        <f t="shared" ref="J132:J195" si="16">J131+1</f>
        <v>131</v>
      </c>
      <c r="K132">
        <v>96.610028890598571</v>
      </c>
    </row>
    <row r="133" spans="10:11" x14ac:dyDescent="0.35">
      <c r="J133">
        <f t="shared" si="16"/>
        <v>132</v>
      </c>
      <c r="K133">
        <v>94.406644773031957</v>
      </c>
    </row>
    <row r="134" spans="10:11" x14ac:dyDescent="0.35">
      <c r="J134">
        <f t="shared" si="16"/>
        <v>133</v>
      </c>
      <c r="K134">
        <v>99.507410241697826</v>
      </c>
    </row>
    <row r="135" spans="10:11" x14ac:dyDescent="0.35">
      <c r="J135">
        <f t="shared" si="16"/>
        <v>134</v>
      </c>
      <c r="K135">
        <v>91.579999362048255</v>
      </c>
    </row>
    <row r="136" spans="10:11" x14ac:dyDescent="0.35">
      <c r="J136">
        <f t="shared" si="16"/>
        <v>135</v>
      </c>
      <c r="K136">
        <v>95.779347638200079</v>
      </c>
    </row>
    <row r="137" spans="10:11" x14ac:dyDescent="0.35">
      <c r="J137">
        <f t="shared" si="16"/>
        <v>136</v>
      </c>
      <c r="K137">
        <v>98.793023419480093</v>
      </c>
    </row>
    <row r="138" spans="10:11" x14ac:dyDescent="0.35">
      <c r="J138">
        <f t="shared" si="16"/>
        <v>137</v>
      </c>
      <c r="K138">
        <v>92.133261505011021</v>
      </c>
    </row>
    <row r="139" spans="10:11" x14ac:dyDescent="0.35">
      <c r="J139">
        <f t="shared" si="16"/>
        <v>138</v>
      </c>
      <c r="K139">
        <v>97.396889193454996</v>
      </c>
    </row>
    <row r="140" spans="10:11" x14ac:dyDescent="0.35">
      <c r="J140">
        <f t="shared" si="16"/>
        <v>139</v>
      </c>
      <c r="K140">
        <v>94.932195508896527</v>
      </c>
    </row>
    <row r="141" spans="10:11" x14ac:dyDescent="0.35">
      <c r="J141">
        <f t="shared" si="16"/>
        <v>140</v>
      </c>
      <c r="K141">
        <v>96.329609876425508</v>
      </c>
    </row>
    <row r="142" spans="10:11" x14ac:dyDescent="0.35">
      <c r="J142">
        <f t="shared" si="16"/>
        <v>141</v>
      </c>
      <c r="K142">
        <v>99.751585294001927</v>
      </c>
    </row>
    <row r="143" spans="10:11" x14ac:dyDescent="0.35">
      <c r="J143">
        <f t="shared" si="16"/>
        <v>142</v>
      </c>
      <c r="K143">
        <v>91.842782982125115</v>
      </c>
    </row>
    <row r="144" spans="10:11" x14ac:dyDescent="0.35">
      <c r="J144">
        <f t="shared" si="16"/>
        <v>143</v>
      </c>
      <c r="K144">
        <v>96.511465102586172</v>
      </c>
    </row>
    <row r="145" spans="10:11" x14ac:dyDescent="0.35">
      <c r="J145">
        <f t="shared" si="16"/>
        <v>144</v>
      </c>
      <c r="K145">
        <v>96.643322172533502</v>
      </c>
    </row>
    <row r="146" spans="10:11" x14ac:dyDescent="0.35">
      <c r="J146">
        <f t="shared" si="16"/>
        <v>145</v>
      </c>
      <c r="K146">
        <v>99.017161465888094</v>
      </c>
    </row>
    <row r="147" spans="10:11" x14ac:dyDescent="0.35">
      <c r="J147">
        <f t="shared" si="16"/>
        <v>146</v>
      </c>
      <c r="K147">
        <v>94.315152901269229</v>
      </c>
    </row>
    <row r="148" spans="10:11" x14ac:dyDescent="0.35">
      <c r="J148">
        <f t="shared" si="16"/>
        <v>147</v>
      </c>
      <c r="K148">
        <v>93.93908327322886</v>
      </c>
    </row>
    <row r="149" spans="10:11" x14ac:dyDescent="0.35">
      <c r="J149">
        <f t="shared" si="16"/>
        <v>148</v>
      </c>
      <c r="K149">
        <v>94.314048669457065</v>
      </c>
    </row>
    <row r="150" spans="10:11" x14ac:dyDescent="0.35">
      <c r="J150">
        <f t="shared" si="16"/>
        <v>149</v>
      </c>
      <c r="K150">
        <v>95.175664079770115</v>
      </c>
    </row>
    <row r="151" spans="10:11" x14ac:dyDescent="0.35">
      <c r="J151">
        <f t="shared" si="16"/>
        <v>150</v>
      </c>
      <c r="K151">
        <v>95.22549965882888</v>
      </c>
    </row>
    <row r="152" spans="10:11" x14ac:dyDescent="0.35">
      <c r="J152">
        <f t="shared" si="16"/>
        <v>151</v>
      </c>
      <c r="K152">
        <v>96.833235851862653</v>
      </c>
    </row>
    <row r="153" spans="10:11" x14ac:dyDescent="0.35">
      <c r="J153">
        <f t="shared" si="16"/>
        <v>152</v>
      </c>
      <c r="K153">
        <v>93.471871690843983</v>
      </c>
    </row>
    <row r="154" spans="10:11" x14ac:dyDescent="0.35">
      <c r="J154">
        <f t="shared" si="16"/>
        <v>153</v>
      </c>
      <c r="K154">
        <v>96.561233839208285</v>
      </c>
    </row>
    <row r="155" spans="10:11" x14ac:dyDescent="0.35">
      <c r="J155">
        <f t="shared" si="16"/>
        <v>154</v>
      </c>
      <c r="K155">
        <v>95.848501850416866</v>
      </c>
    </row>
    <row r="156" spans="10:11" x14ac:dyDescent="0.35">
      <c r="J156">
        <f t="shared" si="16"/>
        <v>155</v>
      </c>
      <c r="K156">
        <v>91.992437112894706</v>
      </c>
    </row>
    <row r="157" spans="10:11" x14ac:dyDescent="0.35">
      <c r="J157">
        <f t="shared" si="16"/>
        <v>156</v>
      </c>
      <c r="K157">
        <v>95.244305100817371</v>
      </c>
    </row>
    <row r="158" spans="10:11" x14ac:dyDescent="0.35">
      <c r="J158">
        <f t="shared" si="16"/>
        <v>157</v>
      </c>
      <c r="K158">
        <v>92.678491119368786</v>
      </c>
    </row>
    <row r="159" spans="10:11" x14ac:dyDescent="0.35">
      <c r="J159">
        <f t="shared" si="16"/>
        <v>158</v>
      </c>
      <c r="K159">
        <v>91.749501625833901</v>
      </c>
    </row>
    <row r="160" spans="10:11" x14ac:dyDescent="0.35">
      <c r="J160">
        <f t="shared" si="16"/>
        <v>159</v>
      </c>
      <c r="K160">
        <v>93.434906397597217</v>
      </c>
    </row>
    <row r="161" spans="10:11" x14ac:dyDescent="0.35">
      <c r="J161">
        <f t="shared" si="16"/>
        <v>160</v>
      </c>
      <c r="K161">
        <v>95.339004785515954</v>
      </c>
    </row>
    <row r="162" spans="10:11" x14ac:dyDescent="0.35">
      <c r="J162">
        <f t="shared" si="16"/>
        <v>161</v>
      </c>
      <c r="K162">
        <v>89.33244820021055</v>
      </c>
    </row>
    <row r="163" spans="10:11" x14ac:dyDescent="0.35">
      <c r="J163">
        <f t="shared" si="16"/>
        <v>162</v>
      </c>
      <c r="K163">
        <v>90.230860242905678</v>
      </c>
    </row>
    <row r="164" spans="10:11" x14ac:dyDescent="0.35">
      <c r="J164">
        <f t="shared" si="16"/>
        <v>163</v>
      </c>
      <c r="K164">
        <v>94.525761897972927</v>
      </c>
    </row>
    <row r="165" spans="10:11" x14ac:dyDescent="0.35">
      <c r="J165">
        <f t="shared" si="16"/>
        <v>164</v>
      </c>
      <c r="K165">
        <v>90.549246384614392</v>
      </c>
    </row>
    <row r="166" spans="10:11" x14ac:dyDescent="0.35">
      <c r="J166">
        <f t="shared" si="16"/>
        <v>165</v>
      </c>
      <c r="K166">
        <v>94.692739788990053</v>
      </c>
    </row>
    <row r="167" spans="10:11" x14ac:dyDescent="0.35">
      <c r="J167">
        <f t="shared" si="16"/>
        <v>166</v>
      </c>
      <c r="K167">
        <v>94.233471045998328</v>
      </c>
    </row>
    <row r="168" spans="10:11" x14ac:dyDescent="0.35">
      <c r="J168">
        <f t="shared" si="16"/>
        <v>167</v>
      </c>
      <c r="K168">
        <v>90.218903926680724</v>
      </c>
    </row>
    <row r="169" spans="10:11" x14ac:dyDescent="0.35">
      <c r="J169">
        <f t="shared" si="16"/>
        <v>168</v>
      </c>
      <c r="K169">
        <v>89.35242183356803</v>
      </c>
    </row>
    <row r="170" spans="10:11" x14ac:dyDescent="0.35">
      <c r="J170">
        <f t="shared" si="16"/>
        <v>169</v>
      </c>
      <c r="K170">
        <v>96.114495112341814</v>
      </c>
    </row>
    <row r="171" spans="10:11" x14ac:dyDescent="0.35">
      <c r="J171">
        <f t="shared" si="16"/>
        <v>170</v>
      </c>
      <c r="K171">
        <v>98.254838245046798</v>
      </c>
    </row>
    <row r="172" spans="10:11" x14ac:dyDescent="0.35">
      <c r="J172">
        <f t="shared" si="16"/>
        <v>171</v>
      </c>
      <c r="K172">
        <v>88.943388087592439</v>
      </c>
    </row>
    <row r="173" spans="10:11" x14ac:dyDescent="0.35">
      <c r="J173">
        <f t="shared" si="16"/>
        <v>172</v>
      </c>
      <c r="K173">
        <v>89.971817040390249</v>
      </c>
    </row>
    <row r="174" spans="10:11" x14ac:dyDescent="0.35">
      <c r="J174">
        <f t="shared" si="16"/>
        <v>173</v>
      </c>
      <c r="K174">
        <v>94.066909626712004</v>
      </c>
    </row>
    <row r="175" spans="10:11" x14ac:dyDescent="0.35">
      <c r="J175">
        <f t="shared" si="16"/>
        <v>174</v>
      </c>
      <c r="K175">
        <v>97.144374202198492</v>
      </c>
    </row>
    <row r="176" spans="10:11" x14ac:dyDescent="0.35">
      <c r="J176">
        <f t="shared" si="16"/>
        <v>175</v>
      </c>
      <c r="K176">
        <v>92.541828935168439</v>
      </c>
    </row>
    <row r="177" spans="10:11" x14ac:dyDescent="0.35">
      <c r="J177">
        <f t="shared" si="16"/>
        <v>176</v>
      </c>
      <c r="K177">
        <v>93.164387643243856</v>
      </c>
    </row>
    <row r="178" spans="10:11" x14ac:dyDescent="0.35">
      <c r="J178">
        <f t="shared" si="16"/>
        <v>177</v>
      </c>
      <c r="K178">
        <v>94.333374428347184</v>
      </c>
    </row>
    <row r="179" spans="10:11" x14ac:dyDescent="0.35">
      <c r="J179">
        <f t="shared" si="16"/>
        <v>178</v>
      </c>
      <c r="K179">
        <v>86.954611964014646</v>
      </c>
    </row>
    <row r="180" spans="10:11" x14ac:dyDescent="0.35">
      <c r="J180">
        <f t="shared" si="16"/>
        <v>179</v>
      </c>
      <c r="K180">
        <v>91.578488210903075</v>
      </c>
    </row>
    <row r="181" spans="10:11" x14ac:dyDescent="0.35">
      <c r="J181">
        <f t="shared" si="16"/>
        <v>180</v>
      </c>
      <c r="K181">
        <v>93.967443205768362</v>
      </c>
    </row>
    <row r="182" spans="10:11" x14ac:dyDescent="0.35">
      <c r="J182">
        <f t="shared" si="16"/>
        <v>181</v>
      </c>
      <c r="K182">
        <v>90.366390341934377</v>
      </c>
    </row>
    <row r="183" spans="10:11" x14ac:dyDescent="0.35">
      <c r="J183">
        <f t="shared" si="16"/>
        <v>182</v>
      </c>
      <c r="K183">
        <v>88.865083860561583</v>
      </c>
    </row>
    <row r="184" spans="10:11" x14ac:dyDescent="0.35">
      <c r="J184">
        <f t="shared" si="16"/>
        <v>183</v>
      </c>
      <c r="K184">
        <v>90.268187363788783</v>
      </c>
    </row>
    <row r="185" spans="10:11" x14ac:dyDescent="0.35">
      <c r="J185">
        <f t="shared" si="16"/>
        <v>184</v>
      </c>
      <c r="K185">
        <v>90.822012756774896</v>
      </c>
    </row>
    <row r="186" spans="10:11" x14ac:dyDescent="0.35">
      <c r="J186">
        <f t="shared" si="16"/>
        <v>185</v>
      </c>
      <c r="K186">
        <v>91.376140185329817</v>
      </c>
    </row>
    <row r="187" spans="10:11" x14ac:dyDescent="0.35">
      <c r="J187">
        <f t="shared" si="16"/>
        <v>186</v>
      </c>
      <c r="K187">
        <v>89.456142437072813</v>
      </c>
    </row>
    <row r="188" spans="10:11" x14ac:dyDescent="0.35">
      <c r="J188">
        <f t="shared" si="16"/>
        <v>187</v>
      </c>
      <c r="K188">
        <v>92.55449124212835</v>
      </c>
    </row>
    <row r="189" spans="10:11" x14ac:dyDescent="0.35">
      <c r="J189">
        <f t="shared" si="16"/>
        <v>188</v>
      </c>
      <c r="K189">
        <v>93.605941666545917</v>
      </c>
    </row>
    <row r="190" spans="10:11" x14ac:dyDescent="0.35">
      <c r="J190">
        <f t="shared" si="16"/>
        <v>189</v>
      </c>
      <c r="K190">
        <v>94.254837598576117</v>
      </c>
    </row>
    <row r="191" spans="10:11" x14ac:dyDescent="0.35">
      <c r="J191">
        <f t="shared" si="16"/>
        <v>190</v>
      </c>
      <c r="K191">
        <v>91.3780835408851</v>
      </c>
    </row>
    <row r="192" spans="10:11" x14ac:dyDescent="0.35">
      <c r="J192">
        <f t="shared" si="16"/>
        <v>191</v>
      </c>
      <c r="K192">
        <v>91.876846654401234</v>
      </c>
    </row>
    <row r="193" spans="10:11" x14ac:dyDescent="0.35">
      <c r="J193">
        <f t="shared" si="16"/>
        <v>192</v>
      </c>
      <c r="K193">
        <v>94.23860610600687</v>
      </c>
    </row>
    <row r="194" spans="10:11" x14ac:dyDescent="0.35">
      <c r="J194">
        <f t="shared" si="16"/>
        <v>193</v>
      </c>
      <c r="K194">
        <v>92.483058044044114</v>
      </c>
    </row>
    <row r="195" spans="10:11" x14ac:dyDescent="0.35">
      <c r="J195">
        <f t="shared" si="16"/>
        <v>194</v>
      </c>
      <c r="K195">
        <v>90.993342797414016</v>
      </c>
    </row>
    <row r="196" spans="10:11" x14ac:dyDescent="0.35">
      <c r="J196">
        <f t="shared" ref="J196:J201" si="17">J195+1</f>
        <v>195</v>
      </c>
      <c r="K196">
        <v>90.525346209428221</v>
      </c>
    </row>
    <row r="197" spans="10:11" x14ac:dyDescent="0.35">
      <c r="J197">
        <f t="shared" si="17"/>
        <v>196</v>
      </c>
      <c r="K197">
        <v>97.668343257327635</v>
      </c>
    </row>
    <row r="198" spans="10:11" x14ac:dyDescent="0.35">
      <c r="J198">
        <f t="shared" si="17"/>
        <v>197</v>
      </c>
      <c r="K198">
        <v>88.200608193126669</v>
      </c>
    </row>
    <row r="199" spans="10:11" x14ac:dyDescent="0.35">
      <c r="J199">
        <f t="shared" si="17"/>
        <v>198</v>
      </c>
      <c r="K199">
        <v>87.567029025461991</v>
      </c>
    </row>
    <row r="200" spans="10:11" x14ac:dyDescent="0.35">
      <c r="J200">
        <f t="shared" si="17"/>
        <v>199</v>
      </c>
      <c r="K200">
        <v>87.815483823886652</v>
      </c>
    </row>
    <row r="201" spans="10:11" x14ac:dyDescent="0.35">
      <c r="J201">
        <f t="shared" si="17"/>
        <v>200</v>
      </c>
      <c r="K201">
        <v>87.490234529830033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796C-25A0-49EB-8BBF-684F3BC104F2}">
  <dimension ref="A1:K201"/>
  <sheetViews>
    <sheetView tabSelected="1" workbookViewId="0">
      <selection activeCell="I21" sqref="I21"/>
    </sheetView>
  </sheetViews>
  <sheetFormatPr defaultRowHeight="14.5" x14ac:dyDescent="0.35"/>
  <cols>
    <col min="1" max="1" width="8.08984375" customWidth="1"/>
    <col min="2" max="2" width="10.36328125" customWidth="1"/>
    <col min="3" max="3" width="12.54296875" customWidth="1"/>
    <col min="4" max="4" width="10.26953125" customWidth="1"/>
    <col min="5" max="5" width="16.08984375" customWidth="1"/>
    <col min="6" max="6" width="14.81640625" customWidth="1"/>
    <col min="7" max="7" width="11.6328125" customWidth="1"/>
    <col min="8" max="8" width="10" customWidth="1"/>
    <col min="9" max="9" width="17.08984375" customWidth="1"/>
    <col min="10" max="10" width="16.26953125" customWidth="1"/>
    <col min="11" max="11" width="15.6328125" customWidth="1"/>
    <col min="12" max="12" width="16.36328125" customWidth="1"/>
  </cols>
  <sheetData>
    <row r="1" spans="1:11" x14ac:dyDescent="0.35">
      <c r="A1" t="s">
        <v>13</v>
      </c>
      <c r="B1" t="s">
        <v>40</v>
      </c>
      <c r="C1" t="s">
        <v>19</v>
      </c>
      <c r="D1" t="s">
        <v>14</v>
      </c>
      <c r="E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</row>
    <row r="2" spans="1:11" x14ac:dyDescent="0.35">
      <c r="A2">
        <f>1</f>
        <v>1</v>
      </c>
      <c r="B2">
        <f>HunterDPS!K2</f>
        <v>95.286343401645979</v>
      </c>
      <c r="C2">
        <f>KaijuSim!K2</f>
        <v>110.75732931935406</v>
      </c>
      <c r="D2" t="str">
        <f>IF(B2 &lt; C2, "Hunters", "Kaiju")</f>
        <v>Hunters</v>
      </c>
      <c r="E2">
        <f>MIN(B2, C2)</f>
        <v>95.286343401645979</v>
      </c>
      <c r="G2">
        <f>COUNTIF(D2:D201,"Hunters") / COUNTA(D2:D201)</f>
        <v>0.5</v>
      </c>
      <c r="H2">
        <f>COUNTIF(D2:D201,"Kaiju") / COUNTA(D2:D201)</f>
        <v>0.5</v>
      </c>
      <c r="I2">
        <f>AVERAGE(E2:E201)</f>
        <v>93.590222191884223</v>
      </c>
      <c r="J2">
        <f>AVERAGE(B2:B201)</f>
        <v>99.340298491789611</v>
      </c>
      <c r="K2">
        <f>AVERAGE(C2:C201)</f>
        <v>98.253761232412586</v>
      </c>
    </row>
    <row r="3" spans="1:11" x14ac:dyDescent="0.35">
      <c r="A3">
        <f>A2+1</f>
        <v>2</v>
      </c>
      <c r="B3">
        <f>HunterDPS!K3</f>
        <v>91.291645606285456</v>
      </c>
      <c r="C3">
        <f>KaijuSim!K3</f>
        <v>107.41731889416464</v>
      </c>
      <c r="D3" t="str">
        <f t="shared" ref="D3:D66" si="0">IF(B3 &lt; C3, "Hunters", "Kaiju")</f>
        <v>Hunters</v>
      </c>
      <c r="E3">
        <f t="shared" ref="E3:E66" si="1">MIN(B3, C3)</f>
        <v>91.291645606285456</v>
      </c>
    </row>
    <row r="4" spans="1:11" x14ac:dyDescent="0.35">
      <c r="A4">
        <f t="shared" ref="A4:A67" si="2">A3+1</f>
        <v>3</v>
      </c>
      <c r="B4">
        <f>HunterDPS!K4</f>
        <v>101.28626669843287</v>
      </c>
      <c r="C4">
        <f>KaijuSim!K4</f>
        <v>104.97261092541466</v>
      </c>
      <c r="D4" t="str">
        <f t="shared" si="0"/>
        <v>Hunters</v>
      </c>
      <c r="E4">
        <f t="shared" si="1"/>
        <v>101.28626669843287</v>
      </c>
    </row>
    <row r="5" spans="1:11" x14ac:dyDescent="0.35">
      <c r="A5">
        <f t="shared" si="2"/>
        <v>4</v>
      </c>
      <c r="B5">
        <f>HunterDPS!K5</f>
        <v>129.42364977093442</v>
      </c>
      <c r="C5">
        <f>KaijuSim!K5</f>
        <v>107.13987100160386</v>
      </c>
      <c r="D5" t="str">
        <f t="shared" si="0"/>
        <v>Kaiju</v>
      </c>
      <c r="E5">
        <f t="shared" si="1"/>
        <v>107.13987100160386</v>
      </c>
    </row>
    <row r="6" spans="1:11" x14ac:dyDescent="0.35">
      <c r="A6">
        <f t="shared" si="2"/>
        <v>5</v>
      </c>
      <c r="B6">
        <f>HunterDPS!K6</f>
        <v>89.623881306656443</v>
      </c>
      <c r="C6">
        <f>KaijuSim!K6</f>
        <v>103.00453157355966</v>
      </c>
      <c r="D6" t="str">
        <f t="shared" si="0"/>
        <v>Hunters</v>
      </c>
      <c r="E6">
        <f t="shared" si="1"/>
        <v>89.623881306656443</v>
      </c>
    </row>
    <row r="7" spans="1:11" x14ac:dyDescent="0.35">
      <c r="A7">
        <f t="shared" si="2"/>
        <v>6</v>
      </c>
      <c r="B7">
        <f>HunterDPS!K7</f>
        <v>89.541091385231041</v>
      </c>
      <c r="C7">
        <f>KaijuSim!K7</f>
        <v>109.87293272634874</v>
      </c>
      <c r="D7" t="str">
        <f t="shared" si="0"/>
        <v>Hunters</v>
      </c>
      <c r="E7">
        <f t="shared" si="1"/>
        <v>89.541091385231041</v>
      </c>
    </row>
    <row r="8" spans="1:11" x14ac:dyDescent="0.35">
      <c r="A8">
        <f t="shared" si="2"/>
        <v>7</v>
      </c>
      <c r="B8">
        <f>HunterDPS!K8</f>
        <v>94.607648176706334</v>
      </c>
      <c r="C8">
        <f>KaijuSim!K8</f>
        <v>102.66120449179292</v>
      </c>
      <c r="D8" t="str">
        <f t="shared" si="0"/>
        <v>Hunters</v>
      </c>
      <c r="E8">
        <f t="shared" si="1"/>
        <v>94.607648176706334</v>
      </c>
    </row>
    <row r="9" spans="1:11" x14ac:dyDescent="0.35">
      <c r="A9">
        <f t="shared" si="2"/>
        <v>8</v>
      </c>
      <c r="B9">
        <f>HunterDPS!K9</f>
        <v>105.42460588613383</v>
      </c>
      <c r="C9">
        <f>KaijuSim!K9</f>
        <v>107.927238712307</v>
      </c>
      <c r="D9" t="str">
        <f t="shared" si="0"/>
        <v>Hunters</v>
      </c>
      <c r="E9">
        <f t="shared" si="1"/>
        <v>105.42460588613383</v>
      </c>
    </row>
    <row r="10" spans="1:11" x14ac:dyDescent="0.35">
      <c r="A10">
        <f t="shared" si="2"/>
        <v>9</v>
      </c>
      <c r="B10">
        <f>HunterDPS!K10</f>
        <v>107.33984316297153</v>
      </c>
      <c r="C10">
        <f>KaijuSim!K10</f>
        <v>105.69806077366235</v>
      </c>
      <c r="D10" t="str">
        <f t="shared" si="0"/>
        <v>Kaiju</v>
      </c>
      <c r="E10">
        <f t="shared" si="1"/>
        <v>105.69806077366235</v>
      </c>
    </row>
    <row r="11" spans="1:11" x14ac:dyDescent="0.35">
      <c r="A11">
        <f t="shared" si="2"/>
        <v>10</v>
      </c>
      <c r="B11">
        <f>HunterDPS!K11</f>
        <v>105.01581531054997</v>
      </c>
      <c r="C11">
        <f>KaijuSim!K11</f>
        <v>105.56425045832125</v>
      </c>
      <c r="D11" t="str">
        <f t="shared" si="0"/>
        <v>Hunters</v>
      </c>
      <c r="E11">
        <f t="shared" si="1"/>
        <v>105.01581531054997</v>
      </c>
    </row>
    <row r="12" spans="1:11" x14ac:dyDescent="0.35">
      <c r="A12">
        <f t="shared" si="2"/>
        <v>11</v>
      </c>
      <c r="B12">
        <f>HunterDPS!K12</f>
        <v>102.1356789303229</v>
      </c>
      <c r="C12">
        <f>KaijuSim!K12</f>
        <v>101.09876070102648</v>
      </c>
      <c r="D12" t="str">
        <f t="shared" si="0"/>
        <v>Kaiju</v>
      </c>
      <c r="E12">
        <f t="shared" si="1"/>
        <v>101.09876070102648</v>
      </c>
    </row>
    <row r="13" spans="1:11" x14ac:dyDescent="0.35">
      <c r="A13">
        <f t="shared" si="2"/>
        <v>12</v>
      </c>
      <c r="B13">
        <f>HunterDPS!K13</f>
        <v>102.01716392477512</v>
      </c>
      <c r="C13">
        <f>KaijuSim!K13</f>
        <v>107.60600638657235</v>
      </c>
      <c r="D13" t="str">
        <f t="shared" si="0"/>
        <v>Hunters</v>
      </c>
      <c r="E13">
        <f t="shared" si="1"/>
        <v>102.01716392477512</v>
      </c>
    </row>
    <row r="14" spans="1:11" x14ac:dyDescent="0.35">
      <c r="A14">
        <f t="shared" si="2"/>
        <v>13</v>
      </c>
      <c r="B14">
        <f>HunterDPS!K14</f>
        <v>72.399976175538541</v>
      </c>
      <c r="C14">
        <f>KaijuSim!K14</f>
        <v>102.31975573737816</v>
      </c>
      <c r="D14" t="str">
        <f t="shared" si="0"/>
        <v>Hunters</v>
      </c>
      <c r="E14">
        <f t="shared" si="1"/>
        <v>72.399976175538541</v>
      </c>
    </row>
    <row r="15" spans="1:11" x14ac:dyDescent="0.35">
      <c r="A15">
        <f t="shared" si="2"/>
        <v>14</v>
      </c>
      <c r="B15">
        <f>HunterDPS!K15</f>
        <v>102.74591531785644</v>
      </c>
      <c r="C15">
        <f>KaijuSim!K15</f>
        <v>104.37884948891569</v>
      </c>
      <c r="D15" t="str">
        <f t="shared" si="0"/>
        <v>Hunters</v>
      </c>
      <c r="E15">
        <f t="shared" si="1"/>
        <v>102.74591531785644</v>
      </c>
    </row>
    <row r="16" spans="1:11" x14ac:dyDescent="0.35">
      <c r="A16">
        <f t="shared" si="2"/>
        <v>15</v>
      </c>
      <c r="B16">
        <f>HunterDPS!K16</f>
        <v>79.363155651841851</v>
      </c>
      <c r="C16">
        <f>KaijuSim!K16</f>
        <v>105.49873156443373</v>
      </c>
      <c r="D16" t="str">
        <f t="shared" si="0"/>
        <v>Hunters</v>
      </c>
      <c r="E16">
        <f t="shared" si="1"/>
        <v>79.363155651841851</v>
      </c>
    </row>
    <row r="17" spans="1:5" x14ac:dyDescent="0.35">
      <c r="A17">
        <f t="shared" si="2"/>
        <v>16</v>
      </c>
      <c r="B17">
        <f>HunterDPS!K17</f>
        <v>99.764887547541704</v>
      </c>
      <c r="C17">
        <f>KaijuSim!K17</f>
        <v>105.33224520741012</v>
      </c>
      <c r="D17" t="str">
        <f t="shared" si="0"/>
        <v>Hunters</v>
      </c>
      <c r="E17">
        <f t="shared" si="1"/>
        <v>99.764887547541704</v>
      </c>
    </row>
    <row r="18" spans="1:5" x14ac:dyDescent="0.35">
      <c r="A18">
        <f t="shared" si="2"/>
        <v>17</v>
      </c>
      <c r="B18">
        <f>HunterDPS!K18</f>
        <v>96.48948203176495</v>
      </c>
      <c r="C18">
        <f>KaijuSim!K18</f>
        <v>100.64636224084101</v>
      </c>
      <c r="D18" t="str">
        <f t="shared" si="0"/>
        <v>Hunters</v>
      </c>
      <c r="E18">
        <f t="shared" si="1"/>
        <v>96.48948203176495</v>
      </c>
    </row>
    <row r="19" spans="1:5" x14ac:dyDescent="0.35">
      <c r="A19">
        <f t="shared" si="2"/>
        <v>18</v>
      </c>
      <c r="B19">
        <f>HunterDPS!K19</f>
        <v>124.65523472664427</v>
      </c>
      <c r="C19">
        <f>KaijuSim!K19</f>
        <v>105.24453201696826</v>
      </c>
      <c r="D19" t="str">
        <f t="shared" si="0"/>
        <v>Kaiju</v>
      </c>
      <c r="E19">
        <f t="shared" si="1"/>
        <v>105.24453201696826</v>
      </c>
    </row>
    <row r="20" spans="1:5" x14ac:dyDescent="0.35">
      <c r="A20">
        <f t="shared" si="2"/>
        <v>19</v>
      </c>
      <c r="B20">
        <f>HunterDPS!K20</f>
        <v>80.566928694577356</v>
      </c>
      <c r="C20">
        <f>KaijuSim!K20</f>
        <v>106.59654311990684</v>
      </c>
      <c r="D20" t="str">
        <f t="shared" si="0"/>
        <v>Hunters</v>
      </c>
      <c r="E20">
        <f t="shared" si="1"/>
        <v>80.566928694577356</v>
      </c>
    </row>
    <row r="21" spans="1:5" x14ac:dyDescent="0.35">
      <c r="A21">
        <f t="shared" si="2"/>
        <v>20</v>
      </c>
      <c r="B21">
        <f>HunterDPS!K21</f>
        <v>88.134903415117776</v>
      </c>
      <c r="C21">
        <f>KaijuSim!K21</f>
        <v>103.87321842537359</v>
      </c>
      <c r="D21" t="str">
        <f t="shared" si="0"/>
        <v>Hunters</v>
      </c>
      <c r="E21">
        <f t="shared" si="1"/>
        <v>88.134903415117776</v>
      </c>
    </row>
    <row r="22" spans="1:5" x14ac:dyDescent="0.35">
      <c r="A22">
        <f t="shared" si="2"/>
        <v>21</v>
      </c>
      <c r="B22">
        <f>HunterDPS!K22</f>
        <v>98.253525719497262</v>
      </c>
      <c r="C22">
        <f>KaijuSim!K22</f>
        <v>108.35664586968272</v>
      </c>
      <c r="D22" t="str">
        <f t="shared" si="0"/>
        <v>Hunters</v>
      </c>
      <c r="E22">
        <f t="shared" si="1"/>
        <v>98.253525719497262</v>
      </c>
    </row>
    <row r="23" spans="1:5" x14ac:dyDescent="0.35">
      <c r="A23">
        <f t="shared" si="2"/>
        <v>22</v>
      </c>
      <c r="B23">
        <f>HunterDPS!K23</f>
        <v>79.421102546376162</v>
      </c>
      <c r="C23">
        <f>KaijuSim!K23</f>
        <v>99.553190627627458</v>
      </c>
      <c r="D23" t="str">
        <f t="shared" si="0"/>
        <v>Hunters</v>
      </c>
      <c r="E23">
        <f t="shared" si="1"/>
        <v>79.421102546376162</v>
      </c>
    </row>
    <row r="24" spans="1:5" x14ac:dyDescent="0.35">
      <c r="A24">
        <f t="shared" si="2"/>
        <v>23</v>
      </c>
      <c r="B24">
        <f>HunterDPS!K24</f>
        <v>95.894188130411649</v>
      </c>
      <c r="C24">
        <f>KaijuSim!K24</f>
        <v>110.50784763657612</v>
      </c>
      <c r="D24" t="str">
        <f t="shared" si="0"/>
        <v>Hunters</v>
      </c>
      <c r="E24">
        <f t="shared" si="1"/>
        <v>95.894188130411649</v>
      </c>
    </row>
    <row r="25" spans="1:5" x14ac:dyDescent="0.35">
      <c r="A25">
        <f t="shared" si="2"/>
        <v>24</v>
      </c>
      <c r="B25">
        <f>HunterDPS!K25</f>
        <v>97.996776636652783</v>
      </c>
      <c r="C25">
        <f>KaijuSim!K25</f>
        <v>106.00357330231553</v>
      </c>
      <c r="D25" t="str">
        <f t="shared" si="0"/>
        <v>Hunters</v>
      </c>
      <c r="E25">
        <f t="shared" si="1"/>
        <v>97.996776636652783</v>
      </c>
    </row>
    <row r="26" spans="1:5" x14ac:dyDescent="0.35">
      <c r="A26">
        <f t="shared" si="2"/>
        <v>25</v>
      </c>
      <c r="B26">
        <f>HunterDPS!K26</f>
        <v>121.32478547352729</v>
      </c>
      <c r="C26">
        <f>KaijuSim!K26</f>
        <v>105.63622731609972</v>
      </c>
      <c r="D26" t="str">
        <f t="shared" si="0"/>
        <v>Kaiju</v>
      </c>
      <c r="E26">
        <f t="shared" si="1"/>
        <v>105.63622731609972</v>
      </c>
    </row>
    <row r="27" spans="1:5" x14ac:dyDescent="0.35">
      <c r="A27">
        <f t="shared" si="2"/>
        <v>26</v>
      </c>
      <c r="B27">
        <f>HunterDPS!K27</f>
        <v>90.887190676090839</v>
      </c>
      <c r="C27">
        <f>KaijuSim!K27</f>
        <v>105.5520435612377</v>
      </c>
      <c r="D27" t="str">
        <f t="shared" si="0"/>
        <v>Hunters</v>
      </c>
      <c r="E27">
        <f t="shared" si="1"/>
        <v>90.887190676090839</v>
      </c>
    </row>
    <row r="28" spans="1:5" x14ac:dyDescent="0.35">
      <c r="A28">
        <f t="shared" si="2"/>
        <v>27</v>
      </c>
      <c r="B28">
        <f>HunterDPS!K28</f>
        <v>100.50884347272543</v>
      </c>
      <c r="C28">
        <f>KaijuSim!K28</f>
        <v>101.74485598818713</v>
      </c>
      <c r="D28" t="str">
        <f t="shared" si="0"/>
        <v>Hunters</v>
      </c>
      <c r="E28">
        <f t="shared" si="1"/>
        <v>100.50884347272543</v>
      </c>
    </row>
    <row r="29" spans="1:5" x14ac:dyDescent="0.35">
      <c r="A29">
        <f t="shared" si="2"/>
        <v>28</v>
      </c>
      <c r="B29">
        <f>HunterDPS!K29</f>
        <v>97.846888936888988</v>
      </c>
      <c r="C29">
        <f>KaijuSim!K29</f>
        <v>105.40064897156826</v>
      </c>
      <c r="D29" t="str">
        <f t="shared" si="0"/>
        <v>Hunters</v>
      </c>
      <c r="E29">
        <f t="shared" si="1"/>
        <v>97.846888936888988</v>
      </c>
    </row>
    <row r="30" spans="1:5" x14ac:dyDescent="0.35">
      <c r="A30">
        <f t="shared" si="2"/>
        <v>29</v>
      </c>
      <c r="B30">
        <f>HunterDPS!K30</f>
        <v>110.53393331982107</v>
      </c>
      <c r="C30">
        <f>KaijuSim!K30</f>
        <v>102.44107461407776</v>
      </c>
      <c r="D30" t="str">
        <f t="shared" si="0"/>
        <v>Kaiju</v>
      </c>
      <c r="E30">
        <f t="shared" si="1"/>
        <v>102.44107461407776</v>
      </c>
    </row>
    <row r="31" spans="1:5" x14ac:dyDescent="0.35">
      <c r="A31">
        <f t="shared" si="2"/>
        <v>30</v>
      </c>
      <c r="B31">
        <f>HunterDPS!K31</f>
        <v>104.78759635240787</v>
      </c>
      <c r="C31">
        <f>KaijuSim!K31</f>
        <v>102.88421086685499</v>
      </c>
      <c r="D31" t="str">
        <f t="shared" si="0"/>
        <v>Kaiju</v>
      </c>
      <c r="E31">
        <f t="shared" si="1"/>
        <v>102.88421086685499</v>
      </c>
    </row>
    <row r="32" spans="1:5" x14ac:dyDescent="0.35">
      <c r="A32">
        <f t="shared" si="2"/>
        <v>31</v>
      </c>
      <c r="B32">
        <f>HunterDPS!K32</f>
        <v>98.765943123633747</v>
      </c>
      <c r="C32">
        <f>KaijuSim!K32</f>
        <v>102.00408533269749</v>
      </c>
      <c r="D32" t="str">
        <f t="shared" si="0"/>
        <v>Hunters</v>
      </c>
      <c r="E32">
        <f t="shared" si="1"/>
        <v>98.765943123633747</v>
      </c>
    </row>
    <row r="33" spans="1:5" x14ac:dyDescent="0.35">
      <c r="A33">
        <f t="shared" si="2"/>
        <v>32</v>
      </c>
      <c r="B33">
        <f>HunterDPS!K33</f>
        <v>113.96747135742318</v>
      </c>
      <c r="C33">
        <f>KaijuSim!K33</f>
        <v>102.48617518450604</v>
      </c>
      <c r="D33" t="str">
        <f t="shared" si="0"/>
        <v>Kaiju</v>
      </c>
      <c r="E33">
        <f t="shared" si="1"/>
        <v>102.48617518450604</v>
      </c>
    </row>
    <row r="34" spans="1:5" x14ac:dyDescent="0.35">
      <c r="A34">
        <f t="shared" si="2"/>
        <v>33</v>
      </c>
      <c r="B34">
        <f>HunterDPS!K34</f>
        <v>101.25644061056062</v>
      </c>
      <c r="C34">
        <f>KaijuSim!K34</f>
        <v>106.52592510782074</v>
      </c>
      <c r="D34" t="str">
        <f t="shared" si="0"/>
        <v>Hunters</v>
      </c>
      <c r="E34">
        <f t="shared" si="1"/>
        <v>101.25644061056062</v>
      </c>
    </row>
    <row r="35" spans="1:5" x14ac:dyDescent="0.35">
      <c r="A35">
        <f t="shared" si="2"/>
        <v>34</v>
      </c>
      <c r="B35">
        <f>HunterDPS!K35</f>
        <v>103.86712933205392</v>
      </c>
      <c r="C35">
        <f>KaijuSim!K35</f>
        <v>105.39849964989799</v>
      </c>
      <c r="D35" t="str">
        <f t="shared" si="0"/>
        <v>Hunters</v>
      </c>
      <c r="E35">
        <f t="shared" si="1"/>
        <v>103.86712933205392</v>
      </c>
    </row>
    <row r="36" spans="1:5" x14ac:dyDescent="0.35">
      <c r="A36">
        <f t="shared" si="2"/>
        <v>35</v>
      </c>
      <c r="B36">
        <f>HunterDPS!K36</f>
        <v>96.553917779391043</v>
      </c>
      <c r="C36">
        <f>KaijuSim!K36</f>
        <v>103.89940543406641</v>
      </c>
      <c r="D36" t="str">
        <f t="shared" si="0"/>
        <v>Hunters</v>
      </c>
      <c r="E36">
        <f t="shared" si="1"/>
        <v>96.553917779391043</v>
      </c>
    </row>
    <row r="37" spans="1:5" x14ac:dyDescent="0.35">
      <c r="A37">
        <f t="shared" si="2"/>
        <v>36</v>
      </c>
      <c r="B37">
        <f>HunterDPS!K37</f>
        <v>91.226526511206359</v>
      </c>
      <c r="C37">
        <f>KaijuSim!K37</f>
        <v>103.12873920879524</v>
      </c>
      <c r="D37" t="str">
        <f t="shared" si="0"/>
        <v>Hunters</v>
      </c>
      <c r="E37">
        <f t="shared" si="1"/>
        <v>91.226526511206359</v>
      </c>
    </row>
    <row r="38" spans="1:5" x14ac:dyDescent="0.35">
      <c r="A38">
        <f t="shared" si="2"/>
        <v>37</v>
      </c>
      <c r="B38">
        <f>HunterDPS!K38</f>
        <v>95.979265698275839</v>
      </c>
      <c r="C38">
        <f>KaijuSim!K38</f>
        <v>103.32411100943887</v>
      </c>
      <c r="D38" t="str">
        <f t="shared" si="0"/>
        <v>Hunters</v>
      </c>
      <c r="E38">
        <f t="shared" si="1"/>
        <v>95.979265698275839</v>
      </c>
    </row>
    <row r="39" spans="1:5" x14ac:dyDescent="0.35">
      <c r="A39">
        <f t="shared" si="2"/>
        <v>38</v>
      </c>
      <c r="B39">
        <f>HunterDPS!K39</f>
        <v>104.0515208253137</v>
      </c>
      <c r="C39">
        <f>KaijuSim!K39</f>
        <v>97.797419931050982</v>
      </c>
      <c r="D39" t="str">
        <f t="shared" si="0"/>
        <v>Kaiju</v>
      </c>
      <c r="E39">
        <f t="shared" si="1"/>
        <v>97.797419931050982</v>
      </c>
    </row>
    <row r="40" spans="1:5" x14ac:dyDescent="0.35">
      <c r="A40">
        <f t="shared" si="2"/>
        <v>39</v>
      </c>
      <c r="B40">
        <f>HunterDPS!K40</f>
        <v>81.416903084181101</v>
      </c>
      <c r="C40">
        <f>KaijuSim!K40</f>
        <v>100.16709659961234</v>
      </c>
      <c r="D40" t="str">
        <f t="shared" si="0"/>
        <v>Hunters</v>
      </c>
      <c r="E40">
        <f t="shared" si="1"/>
        <v>81.416903084181101</v>
      </c>
    </row>
    <row r="41" spans="1:5" x14ac:dyDescent="0.35">
      <c r="A41">
        <f t="shared" si="2"/>
        <v>40</v>
      </c>
      <c r="B41">
        <f>HunterDPS!K41</f>
        <v>94.462719332890813</v>
      </c>
      <c r="C41">
        <f>KaijuSim!K41</f>
        <v>102.29402430332797</v>
      </c>
      <c r="D41" t="str">
        <f t="shared" si="0"/>
        <v>Hunters</v>
      </c>
      <c r="E41">
        <f t="shared" si="1"/>
        <v>94.462719332890813</v>
      </c>
    </row>
    <row r="42" spans="1:5" x14ac:dyDescent="0.35">
      <c r="A42">
        <f t="shared" si="2"/>
        <v>41</v>
      </c>
      <c r="B42">
        <f>HunterDPS!K42</f>
        <v>120.03517369466394</v>
      </c>
      <c r="C42">
        <f>KaijuSim!K42</f>
        <v>101.7483066769915</v>
      </c>
      <c r="D42" t="str">
        <f t="shared" si="0"/>
        <v>Kaiju</v>
      </c>
      <c r="E42">
        <f t="shared" si="1"/>
        <v>101.7483066769915</v>
      </c>
    </row>
    <row r="43" spans="1:5" x14ac:dyDescent="0.35">
      <c r="A43">
        <f t="shared" si="2"/>
        <v>42</v>
      </c>
      <c r="B43">
        <f>HunterDPS!K43</f>
        <v>100.78042057088142</v>
      </c>
      <c r="C43">
        <f>KaijuSim!K43</f>
        <v>107.59966234321686</v>
      </c>
      <c r="D43" t="str">
        <f t="shared" si="0"/>
        <v>Hunters</v>
      </c>
      <c r="E43">
        <f t="shared" si="1"/>
        <v>100.78042057088142</v>
      </c>
    </row>
    <row r="44" spans="1:5" x14ac:dyDescent="0.35">
      <c r="A44">
        <f t="shared" si="2"/>
        <v>43</v>
      </c>
      <c r="B44">
        <f>HunterDPS!K44</f>
        <v>99.101080121301109</v>
      </c>
      <c r="C44">
        <f>KaijuSim!K44</f>
        <v>102.66858734735625</v>
      </c>
      <c r="D44" t="str">
        <f t="shared" si="0"/>
        <v>Hunters</v>
      </c>
      <c r="E44">
        <f t="shared" si="1"/>
        <v>99.101080121301109</v>
      </c>
    </row>
    <row r="45" spans="1:5" x14ac:dyDescent="0.35">
      <c r="A45">
        <f t="shared" si="2"/>
        <v>44</v>
      </c>
      <c r="B45">
        <f>HunterDPS!K45</f>
        <v>106.4781996194332</v>
      </c>
      <c r="C45">
        <f>KaijuSim!K45</f>
        <v>102.88419035423294</v>
      </c>
      <c r="D45" t="str">
        <f t="shared" si="0"/>
        <v>Kaiju</v>
      </c>
      <c r="E45">
        <f t="shared" si="1"/>
        <v>102.88419035423294</v>
      </c>
    </row>
    <row r="46" spans="1:5" x14ac:dyDescent="0.35">
      <c r="A46">
        <f t="shared" si="2"/>
        <v>45</v>
      </c>
      <c r="B46">
        <f>HunterDPS!K46</f>
        <v>108.46666925038448</v>
      </c>
      <c r="C46">
        <f>KaijuSim!K46</f>
        <v>103.97041523311556</v>
      </c>
      <c r="D46" t="str">
        <f t="shared" si="0"/>
        <v>Kaiju</v>
      </c>
      <c r="E46">
        <f t="shared" si="1"/>
        <v>103.97041523311556</v>
      </c>
    </row>
    <row r="47" spans="1:5" x14ac:dyDescent="0.35">
      <c r="A47">
        <f t="shared" si="2"/>
        <v>46</v>
      </c>
      <c r="B47">
        <f>HunterDPS!K47</f>
        <v>98.653295425959456</v>
      </c>
      <c r="C47">
        <f>KaijuSim!K47</f>
        <v>104.58120302900515</v>
      </c>
      <c r="D47" t="str">
        <f t="shared" si="0"/>
        <v>Hunters</v>
      </c>
      <c r="E47">
        <f t="shared" si="1"/>
        <v>98.653295425959456</v>
      </c>
    </row>
    <row r="48" spans="1:5" x14ac:dyDescent="0.35">
      <c r="A48">
        <f t="shared" si="2"/>
        <v>47</v>
      </c>
      <c r="B48">
        <f>HunterDPS!K48</f>
        <v>101.95586584208003</v>
      </c>
      <c r="C48">
        <f>KaijuSim!K48</f>
        <v>103.06654724081872</v>
      </c>
      <c r="D48" t="str">
        <f t="shared" si="0"/>
        <v>Hunters</v>
      </c>
      <c r="E48">
        <f t="shared" si="1"/>
        <v>101.95586584208003</v>
      </c>
    </row>
    <row r="49" spans="1:5" x14ac:dyDescent="0.35">
      <c r="A49">
        <f t="shared" si="2"/>
        <v>48</v>
      </c>
      <c r="B49">
        <f>HunterDPS!K49</f>
        <v>99.996141320235822</v>
      </c>
      <c r="C49">
        <f>KaijuSim!K49</f>
        <v>106.18027016925471</v>
      </c>
      <c r="D49" t="str">
        <f t="shared" si="0"/>
        <v>Hunters</v>
      </c>
      <c r="E49">
        <f t="shared" si="1"/>
        <v>99.996141320235822</v>
      </c>
    </row>
    <row r="50" spans="1:5" x14ac:dyDescent="0.35">
      <c r="A50">
        <f t="shared" si="2"/>
        <v>49</v>
      </c>
      <c r="B50">
        <f>HunterDPS!K50</f>
        <v>136.51688004569934</v>
      </c>
      <c r="C50">
        <f>KaijuSim!K50</f>
        <v>106.54117473148088</v>
      </c>
      <c r="D50" t="str">
        <f t="shared" si="0"/>
        <v>Kaiju</v>
      </c>
      <c r="E50">
        <f t="shared" si="1"/>
        <v>106.54117473148088</v>
      </c>
    </row>
    <row r="51" spans="1:5" x14ac:dyDescent="0.35">
      <c r="A51">
        <f t="shared" si="2"/>
        <v>50</v>
      </c>
      <c r="B51">
        <f>HunterDPS!K51</f>
        <v>115.18053969265532</v>
      </c>
      <c r="C51">
        <f>KaijuSim!K51</f>
        <v>103.23617987710679</v>
      </c>
      <c r="D51" t="str">
        <f t="shared" si="0"/>
        <v>Kaiju</v>
      </c>
      <c r="E51">
        <f t="shared" si="1"/>
        <v>103.23617987710679</v>
      </c>
    </row>
    <row r="52" spans="1:5" x14ac:dyDescent="0.35">
      <c r="A52">
        <f t="shared" si="2"/>
        <v>51</v>
      </c>
      <c r="B52">
        <f>HunterDPS!K52</f>
        <v>87.265152852374484</v>
      </c>
      <c r="C52">
        <f>KaijuSim!K52</f>
        <v>99.878443049776379</v>
      </c>
      <c r="D52" t="str">
        <f t="shared" si="0"/>
        <v>Hunters</v>
      </c>
      <c r="E52">
        <f t="shared" si="1"/>
        <v>87.265152852374484</v>
      </c>
    </row>
    <row r="53" spans="1:5" x14ac:dyDescent="0.35">
      <c r="A53">
        <f t="shared" si="2"/>
        <v>52</v>
      </c>
      <c r="B53">
        <f>HunterDPS!K53</f>
        <v>112.73505129764808</v>
      </c>
      <c r="C53">
        <f>KaijuSim!K53</f>
        <v>102.1463586803055</v>
      </c>
      <c r="D53" t="str">
        <f t="shared" si="0"/>
        <v>Kaiju</v>
      </c>
      <c r="E53">
        <f t="shared" si="1"/>
        <v>102.1463586803055</v>
      </c>
    </row>
    <row r="54" spans="1:5" x14ac:dyDescent="0.35">
      <c r="A54">
        <f t="shared" si="2"/>
        <v>53</v>
      </c>
      <c r="B54">
        <f>HunterDPS!K54</f>
        <v>87.448283364980156</v>
      </c>
      <c r="C54">
        <f>KaijuSim!K54</f>
        <v>102.5628801761152</v>
      </c>
      <c r="D54" t="str">
        <f t="shared" si="0"/>
        <v>Hunters</v>
      </c>
      <c r="E54">
        <f t="shared" si="1"/>
        <v>87.448283364980156</v>
      </c>
    </row>
    <row r="55" spans="1:5" x14ac:dyDescent="0.35">
      <c r="A55">
        <f t="shared" si="2"/>
        <v>54</v>
      </c>
      <c r="B55">
        <f>HunterDPS!K55</f>
        <v>78.741345575405632</v>
      </c>
      <c r="C55">
        <f>KaijuSim!K55</f>
        <v>102.78382370772567</v>
      </c>
      <c r="D55" t="str">
        <f t="shared" si="0"/>
        <v>Hunters</v>
      </c>
      <c r="E55">
        <f t="shared" si="1"/>
        <v>78.741345575405632</v>
      </c>
    </row>
    <row r="56" spans="1:5" x14ac:dyDescent="0.35">
      <c r="A56">
        <f t="shared" si="2"/>
        <v>55</v>
      </c>
      <c r="B56">
        <f>HunterDPS!K56</f>
        <v>93.232467379595619</v>
      </c>
      <c r="C56">
        <f>KaijuSim!K56</f>
        <v>101.66733397313732</v>
      </c>
      <c r="D56" t="str">
        <f t="shared" si="0"/>
        <v>Hunters</v>
      </c>
      <c r="E56">
        <f t="shared" si="1"/>
        <v>93.232467379595619</v>
      </c>
    </row>
    <row r="57" spans="1:5" x14ac:dyDescent="0.35">
      <c r="A57">
        <f t="shared" si="2"/>
        <v>56</v>
      </c>
      <c r="B57">
        <f>HunterDPS!K57</f>
        <v>112.48456332910956</v>
      </c>
      <c r="C57">
        <f>KaijuSim!K57</f>
        <v>103.75739639879912</v>
      </c>
      <c r="D57" t="str">
        <f t="shared" si="0"/>
        <v>Kaiju</v>
      </c>
      <c r="E57">
        <f t="shared" si="1"/>
        <v>103.75739639879912</v>
      </c>
    </row>
    <row r="58" spans="1:5" x14ac:dyDescent="0.35">
      <c r="A58">
        <f t="shared" si="2"/>
        <v>57</v>
      </c>
      <c r="B58">
        <f>HunterDPS!K58</f>
        <v>85.217773381113545</v>
      </c>
      <c r="C58">
        <f>KaijuSim!K58</f>
        <v>99.124574735716024</v>
      </c>
      <c r="D58" t="str">
        <f t="shared" si="0"/>
        <v>Hunters</v>
      </c>
      <c r="E58">
        <f t="shared" si="1"/>
        <v>85.217773381113545</v>
      </c>
    </row>
    <row r="59" spans="1:5" x14ac:dyDescent="0.35">
      <c r="A59">
        <f t="shared" si="2"/>
        <v>58</v>
      </c>
      <c r="B59">
        <f>HunterDPS!K59</f>
        <v>91.769553283562985</v>
      </c>
      <c r="C59">
        <f>KaijuSim!K59</f>
        <v>101.52270929276841</v>
      </c>
      <c r="D59" t="str">
        <f t="shared" si="0"/>
        <v>Hunters</v>
      </c>
      <c r="E59">
        <f t="shared" si="1"/>
        <v>91.769553283562985</v>
      </c>
    </row>
    <row r="60" spans="1:5" x14ac:dyDescent="0.35">
      <c r="A60">
        <f t="shared" si="2"/>
        <v>59</v>
      </c>
      <c r="B60">
        <f>HunterDPS!K60</f>
        <v>92.542820011963926</v>
      </c>
      <c r="C60">
        <f>KaijuSim!K60</f>
        <v>98.003846706807721</v>
      </c>
      <c r="D60" t="str">
        <f t="shared" si="0"/>
        <v>Hunters</v>
      </c>
      <c r="E60">
        <f t="shared" si="1"/>
        <v>92.542820011963926</v>
      </c>
    </row>
    <row r="61" spans="1:5" x14ac:dyDescent="0.35">
      <c r="A61">
        <f t="shared" si="2"/>
        <v>60</v>
      </c>
      <c r="B61">
        <f>HunterDPS!K61</f>
        <v>82.360008381130797</v>
      </c>
      <c r="C61">
        <f>KaijuSim!K61</f>
        <v>102.39456541331805</v>
      </c>
      <c r="D61" t="str">
        <f t="shared" si="0"/>
        <v>Hunters</v>
      </c>
      <c r="E61">
        <f t="shared" si="1"/>
        <v>82.360008381130797</v>
      </c>
    </row>
    <row r="62" spans="1:5" x14ac:dyDescent="0.35">
      <c r="A62">
        <f t="shared" si="2"/>
        <v>61</v>
      </c>
      <c r="B62">
        <f>HunterDPS!K62</f>
        <v>130.89788135996932</v>
      </c>
      <c r="C62">
        <f>KaijuSim!K62</f>
        <v>101.80688775364735</v>
      </c>
      <c r="D62" t="str">
        <f t="shared" si="0"/>
        <v>Kaiju</v>
      </c>
      <c r="E62">
        <f t="shared" si="1"/>
        <v>101.80688775364735</v>
      </c>
    </row>
    <row r="63" spans="1:5" x14ac:dyDescent="0.35">
      <c r="A63">
        <f t="shared" si="2"/>
        <v>62</v>
      </c>
      <c r="B63">
        <f>HunterDPS!K63</f>
        <v>115.91116163164841</v>
      </c>
      <c r="C63">
        <f>KaijuSim!K63</f>
        <v>102.23293347393387</v>
      </c>
      <c r="D63" t="str">
        <f t="shared" si="0"/>
        <v>Kaiju</v>
      </c>
      <c r="E63">
        <f t="shared" si="1"/>
        <v>102.23293347393387</v>
      </c>
    </row>
    <row r="64" spans="1:5" x14ac:dyDescent="0.35">
      <c r="A64">
        <f t="shared" si="2"/>
        <v>63</v>
      </c>
      <c r="B64">
        <f>HunterDPS!K64</f>
        <v>93.08999721185144</v>
      </c>
      <c r="C64">
        <f>KaijuSim!K64</f>
        <v>96.205517481046044</v>
      </c>
      <c r="D64" t="str">
        <f t="shared" si="0"/>
        <v>Hunters</v>
      </c>
      <c r="E64">
        <f t="shared" si="1"/>
        <v>93.08999721185144</v>
      </c>
    </row>
    <row r="65" spans="1:5" x14ac:dyDescent="0.35">
      <c r="A65">
        <f t="shared" si="2"/>
        <v>64</v>
      </c>
      <c r="B65">
        <f>HunterDPS!K65</f>
        <v>85.191844493612038</v>
      </c>
      <c r="C65">
        <f>KaijuSim!K65</f>
        <v>103.13837872276792</v>
      </c>
      <c r="D65" t="str">
        <f t="shared" si="0"/>
        <v>Hunters</v>
      </c>
      <c r="E65">
        <f t="shared" si="1"/>
        <v>85.191844493612038</v>
      </c>
    </row>
    <row r="66" spans="1:5" x14ac:dyDescent="0.35">
      <c r="A66">
        <f t="shared" si="2"/>
        <v>65</v>
      </c>
      <c r="B66">
        <f>HunterDPS!K66</f>
        <v>127.84664997515452</v>
      </c>
      <c r="C66">
        <f>KaijuSim!K66</f>
        <v>98.602624854925836</v>
      </c>
      <c r="D66" t="str">
        <f t="shared" si="0"/>
        <v>Kaiju</v>
      </c>
      <c r="E66">
        <f t="shared" si="1"/>
        <v>98.602624854925836</v>
      </c>
    </row>
    <row r="67" spans="1:5" x14ac:dyDescent="0.35">
      <c r="A67">
        <f t="shared" si="2"/>
        <v>66</v>
      </c>
      <c r="B67">
        <f>HunterDPS!K67</f>
        <v>99.780724655524253</v>
      </c>
      <c r="C67">
        <f>KaijuSim!K67</f>
        <v>97.74204623290008</v>
      </c>
      <c r="D67" t="str">
        <f t="shared" ref="D67:D130" si="3">IF(B67 &lt; C67, "Hunters", "Kaiju")</f>
        <v>Kaiju</v>
      </c>
      <c r="E67">
        <f t="shared" ref="E67:E130" si="4">MIN(B67, C67)</f>
        <v>97.74204623290008</v>
      </c>
    </row>
    <row r="68" spans="1:5" x14ac:dyDescent="0.35">
      <c r="A68">
        <f t="shared" ref="A68:A131" si="5">A67+1</f>
        <v>67</v>
      </c>
      <c r="B68">
        <f>HunterDPS!K68</f>
        <v>81.837870645975343</v>
      </c>
      <c r="C68">
        <f>KaijuSim!K68</f>
        <v>103.53309501418087</v>
      </c>
      <c r="D68" t="str">
        <f t="shared" si="3"/>
        <v>Hunters</v>
      </c>
      <c r="E68">
        <f t="shared" si="4"/>
        <v>81.837870645975343</v>
      </c>
    </row>
    <row r="69" spans="1:5" x14ac:dyDescent="0.35">
      <c r="A69">
        <f t="shared" si="5"/>
        <v>68</v>
      </c>
      <c r="B69">
        <f>HunterDPS!K69</f>
        <v>91.175707269654467</v>
      </c>
      <c r="C69">
        <f>KaijuSim!K69</f>
        <v>101.89962291942935</v>
      </c>
      <c r="D69" t="str">
        <f t="shared" si="3"/>
        <v>Hunters</v>
      </c>
      <c r="E69">
        <f t="shared" si="4"/>
        <v>91.175707269654467</v>
      </c>
    </row>
    <row r="70" spans="1:5" x14ac:dyDescent="0.35">
      <c r="A70">
        <f t="shared" si="5"/>
        <v>69</v>
      </c>
      <c r="B70">
        <f>HunterDPS!K70</f>
        <v>121.24549539321538</v>
      </c>
      <c r="C70">
        <f>KaijuSim!K70</f>
        <v>100.61707893262079</v>
      </c>
      <c r="D70" t="str">
        <f t="shared" si="3"/>
        <v>Kaiju</v>
      </c>
      <c r="E70">
        <f t="shared" si="4"/>
        <v>100.61707893262079</v>
      </c>
    </row>
    <row r="71" spans="1:5" x14ac:dyDescent="0.35">
      <c r="A71">
        <f t="shared" si="5"/>
        <v>70</v>
      </c>
      <c r="B71">
        <f>HunterDPS!K71</f>
        <v>106.84257820867002</v>
      </c>
      <c r="C71">
        <f>KaijuSim!K71</f>
        <v>103.36416075856702</v>
      </c>
      <c r="D71" t="str">
        <f t="shared" si="3"/>
        <v>Kaiju</v>
      </c>
      <c r="E71">
        <f t="shared" si="4"/>
        <v>103.36416075856702</v>
      </c>
    </row>
    <row r="72" spans="1:5" x14ac:dyDescent="0.35">
      <c r="A72">
        <f t="shared" si="5"/>
        <v>71</v>
      </c>
      <c r="B72">
        <f>HunterDPS!K72</f>
        <v>89.519875403058577</v>
      </c>
      <c r="C72">
        <f>KaijuSim!K72</f>
        <v>97.754941820494395</v>
      </c>
      <c r="D72" t="str">
        <f t="shared" si="3"/>
        <v>Hunters</v>
      </c>
      <c r="E72">
        <f t="shared" si="4"/>
        <v>89.519875403058577</v>
      </c>
    </row>
    <row r="73" spans="1:5" x14ac:dyDescent="0.35">
      <c r="A73">
        <f t="shared" si="5"/>
        <v>72</v>
      </c>
      <c r="B73">
        <f>HunterDPS!K73</f>
        <v>112.71872570776102</v>
      </c>
      <c r="C73">
        <f>KaijuSim!K73</f>
        <v>103.31228430780652</v>
      </c>
      <c r="D73" t="str">
        <f t="shared" si="3"/>
        <v>Kaiju</v>
      </c>
      <c r="E73">
        <f t="shared" si="4"/>
        <v>103.31228430780652</v>
      </c>
    </row>
    <row r="74" spans="1:5" x14ac:dyDescent="0.35">
      <c r="A74">
        <f t="shared" si="5"/>
        <v>73</v>
      </c>
      <c r="B74">
        <f>HunterDPS!K74</f>
        <v>94.117412944711873</v>
      </c>
      <c r="C74">
        <f>KaijuSim!K74</f>
        <v>100.74803120111999</v>
      </c>
      <c r="D74" t="str">
        <f t="shared" si="3"/>
        <v>Hunters</v>
      </c>
      <c r="E74">
        <f t="shared" si="4"/>
        <v>94.117412944711873</v>
      </c>
    </row>
    <row r="75" spans="1:5" x14ac:dyDescent="0.35">
      <c r="A75">
        <f t="shared" si="5"/>
        <v>74</v>
      </c>
      <c r="B75">
        <f>HunterDPS!K75</f>
        <v>112.461648720228</v>
      </c>
      <c r="C75">
        <f>KaijuSim!K75</f>
        <v>99.872219897631751</v>
      </c>
      <c r="D75" t="str">
        <f t="shared" si="3"/>
        <v>Kaiju</v>
      </c>
      <c r="E75">
        <f t="shared" si="4"/>
        <v>99.872219897631751</v>
      </c>
    </row>
    <row r="76" spans="1:5" x14ac:dyDescent="0.35">
      <c r="A76">
        <f t="shared" si="5"/>
        <v>75</v>
      </c>
      <c r="B76">
        <f>HunterDPS!K76</f>
        <v>103.01644366862928</v>
      </c>
      <c r="C76">
        <f>KaijuSim!K76</f>
        <v>95.826061000182037</v>
      </c>
      <c r="D76" t="str">
        <f t="shared" si="3"/>
        <v>Kaiju</v>
      </c>
      <c r="E76">
        <f t="shared" si="4"/>
        <v>95.826061000182037</v>
      </c>
    </row>
    <row r="77" spans="1:5" x14ac:dyDescent="0.35">
      <c r="A77">
        <f t="shared" si="5"/>
        <v>76</v>
      </c>
      <c r="B77">
        <f>HunterDPS!K77</f>
        <v>109.1624515865841</v>
      </c>
      <c r="C77">
        <f>KaijuSim!K77</f>
        <v>98.668565434409501</v>
      </c>
      <c r="D77" t="str">
        <f t="shared" si="3"/>
        <v>Kaiju</v>
      </c>
      <c r="E77">
        <f t="shared" si="4"/>
        <v>98.668565434409501</v>
      </c>
    </row>
    <row r="78" spans="1:5" x14ac:dyDescent="0.35">
      <c r="A78">
        <f t="shared" si="5"/>
        <v>77</v>
      </c>
      <c r="B78">
        <f>HunterDPS!K78</f>
        <v>112.46940030538572</v>
      </c>
      <c r="C78">
        <f>KaijuSim!K78</f>
        <v>101.28353099688491</v>
      </c>
      <c r="D78" t="str">
        <f t="shared" si="3"/>
        <v>Kaiju</v>
      </c>
      <c r="E78">
        <f t="shared" si="4"/>
        <v>101.28353099688491</v>
      </c>
    </row>
    <row r="79" spans="1:5" x14ac:dyDescent="0.35">
      <c r="A79">
        <f t="shared" si="5"/>
        <v>78</v>
      </c>
      <c r="B79">
        <f>HunterDPS!K79</f>
        <v>94.678590555042419</v>
      </c>
      <c r="C79">
        <f>KaijuSim!K79</f>
        <v>100.82954218541121</v>
      </c>
      <c r="D79" t="str">
        <f t="shared" si="3"/>
        <v>Hunters</v>
      </c>
      <c r="E79">
        <f t="shared" si="4"/>
        <v>94.678590555042419</v>
      </c>
    </row>
    <row r="80" spans="1:5" x14ac:dyDescent="0.35">
      <c r="A80">
        <f t="shared" si="5"/>
        <v>79</v>
      </c>
      <c r="B80">
        <f>HunterDPS!K80</f>
        <v>107.87069783740212</v>
      </c>
      <c r="C80">
        <f>KaijuSim!K80</f>
        <v>98.596014764082511</v>
      </c>
      <c r="D80" t="str">
        <f t="shared" si="3"/>
        <v>Kaiju</v>
      </c>
      <c r="E80">
        <f t="shared" si="4"/>
        <v>98.596014764082511</v>
      </c>
    </row>
    <row r="81" spans="1:5" x14ac:dyDescent="0.35">
      <c r="A81">
        <f t="shared" si="5"/>
        <v>80</v>
      </c>
      <c r="B81">
        <f>HunterDPS!K81</f>
        <v>85.754285637940782</v>
      </c>
      <c r="C81">
        <f>KaijuSim!K81</f>
        <v>99.386610261384362</v>
      </c>
      <c r="D81" t="str">
        <f t="shared" si="3"/>
        <v>Hunters</v>
      </c>
      <c r="E81">
        <f t="shared" si="4"/>
        <v>85.754285637940782</v>
      </c>
    </row>
    <row r="82" spans="1:5" x14ac:dyDescent="0.35">
      <c r="A82">
        <f t="shared" si="5"/>
        <v>81</v>
      </c>
      <c r="B82">
        <f>HunterDPS!K82</f>
        <v>117.64771169719135</v>
      </c>
      <c r="C82">
        <f>KaijuSim!K82</f>
        <v>100.52930720160622</v>
      </c>
      <c r="D82" t="str">
        <f t="shared" si="3"/>
        <v>Kaiju</v>
      </c>
      <c r="E82">
        <f t="shared" si="4"/>
        <v>100.52930720160622</v>
      </c>
    </row>
    <row r="83" spans="1:5" x14ac:dyDescent="0.35">
      <c r="A83">
        <f t="shared" si="5"/>
        <v>82</v>
      </c>
      <c r="B83">
        <f>HunterDPS!K83</f>
        <v>113.14645686460642</v>
      </c>
      <c r="C83">
        <f>KaijuSim!K83</f>
        <v>97.803756716222949</v>
      </c>
      <c r="D83" t="str">
        <f t="shared" si="3"/>
        <v>Kaiju</v>
      </c>
      <c r="E83">
        <f t="shared" si="4"/>
        <v>97.803756716222949</v>
      </c>
    </row>
    <row r="84" spans="1:5" x14ac:dyDescent="0.35">
      <c r="A84">
        <f t="shared" si="5"/>
        <v>83</v>
      </c>
      <c r="B84">
        <f>HunterDPS!K84</f>
        <v>94.527722834210934</v>
      </c>
      <c r="C84">
        <f>KaijuSim!K84</f>
        <v>98.366186135982502</v>
      </c>
      <c r="D84" t="str">
        <f t="shared" si="3"/>
        <v>Hunters</v>
      </c>
      <c r="E84">
        <f t="shared" si="4"/>
        <v>94.527722834210934</v>
      </c>
    </row>
    <row r="85" spans="1:5" x14ac:dyDescent="0.35">
      <c r="A85">
        <f t="shared" si="5"/>
        <v>84</v>
      </c>
      <c r="B85">
        <f>HunterDPS!K85</f>
        <v>106.08931843746593</v>
      </c>
      <c r="C85">
        <f>KaijuSim!K85</f>
        <v>99.953102835501781</v>
      </c>
      <c r="D85" t="str">
        <f t="shared" si="3"/>
        <v>Kaiju</v>
      </c>
      <c r="E85">
        <f t="shared" si="4"/>
        <v>99.953102835501781</v>
      </c>
    </row>
    <row r="86" spans="1:5" x14ac:dyDescent="0.35">
      <c r="A86">
        <f t="shared" si="5"/>
        <v>85</v>
      </c>
      <c r="B86">
        <f>HunterDPS!K86</f>
        <v>106.50230785769256</v>
      </c>
      <c r="C86">
        <f>KaijuSim!K86</f>
        <v>97.581938674865299</v>
      </c>
      <c r="D86" t="str">
        <f t="shared" si="3"/>
        <v>Kaiju</v>
      </c>
      <c r="E86">
        <f t="shared" si="4"/>
        <v>97.581938674865299</v>
      </c>
    </row>
    <row r="87" spans="1:5" x14ac:dyDescent="0.35">
      <c r="A87">
        <f t="shared" si="5"/>
        <v>86</v>
      </c>
      <c r="B87">
        <f>HunterDPS!K87</f>
        <v>93.758364315273298</v>
      </c>
      <c r="C87">
        <f>KaijuSim!K87</f>
        <v>94.925463679242213</v>
      </c>
      <c r="D87" t="str">
        <f t="shared" si="3"/>
        <v>Hunters</v>
      </c>
      <c r="E87">
        <f t="shared" si="4"/>
        <v>93.758364315273298</v>
      </c>
    </row>
    <row r="88" spans="1:5" x14ac:dyDescent="0.35">
      <c r="A88">
        <f t="shared" si="5"/>
        <v>87</v>
      </c>
      <c r="B88">
        <f>HunterDPS!K88</f>
        <v>100.90930604299203</v>
      </c>
      <c r="C88">
        <f>KaijuSim!K88</f>
        <v>95.838450154020549</v>
      </c>
      <c r="D88" t="str">
        <f t="shared" si="3"/>
        <v>Kaiju</v>
      </c>
      <c r="E88">
        <f t="shared" si="4"/>
        <v>95.838450154020549</v>
      </c>
    </row>
    <row r="89" spans="1:5" x14ac:dyDescent="0.35">
      <c r="A89">
        <f t="shared" si="5"/>
        <v>88</v>
      </c>
      <c r="B89">
        <f>HunterDPS!K89</f>
        <v>112.76817281710751</v>
      </c>
      <c r="C89">
        <f>KaijuSim!K89</f>
        <v>95.85181111202462</v>
      </c>
      <c r="D89" t="str">
        <f t="shared" si="3"/>
        <v>Kaiju</v>
      </c>
      <c r="E89">
        <f t="shared" si="4"/>
        <v>95.85181111202462</v>
      </c>
    </row>
    <row r="90" spans="1:5" x14ac:dyDescent="0.35">
      <c r="A90">
        <f t="shared" si="5"/>
        <v>89</v>
      </c>
      <c r="B90">
        <f>HunterDPS!K90</f>
        <v>114.8263151456846</v>
      </c>
      <c r="C90">
        <f>KaijuSim!K90</f>
        <v>100.4549612950737</v>
      </c>
      <c r="D90" t="str">
        <f t="shared" si="3"/>
        <v>Kaiju</v>
      </c>
      <c r="E90">
        <f t="shared" si="4"/>
        <v>100.4549612950737</v>
      </c>
    </row>
    <row r="91" spans="1:5" x14ac:dyDescent="0.35">
      <c r="A91">
        <f t="shared" si="5"/>
        <v>90</v>
      </c>
      <c r="B91">
        <f>HunterDPS!K91</f>
        <v>86.534034013443886</v>
      </c>
      <c r="C91">
        <f>KaijuSim!K91</f>
        <v>97.625585444668758</v>
      </c>
      <c r="D91" t="str">
        <f t="shared" si="3"/>
        <v>Hunters</v>
      </c>
      <c r="E91">
        <f t="shared" si="4"/>
        <v>86.534034013443886</v>
      </c>
    </row>
    <row r="92" spans="1:5" x14ac:dyDescent="0.35">
      <c r="A92">
        <f t="shared" si="5"/>
        <v>91</v>
      </c>
      <c r="B92">
        <f>HunterDPS!K92</f>
        <v>77.707915976337105</v>
      </c>
      <c r="C92">
        <f>KaijuSim!K92</f>
        <v>97.381986393113763</v>
      </c>
      <c r="D92" t="str">
        <f t="shared" si="3"/>
        <v>Hunters</v>
      </c>
      <c r="E92">
        <f t="shared" si="4"/>
        <v>77.707915976337105</v>
      </c>
    </row>
    <row r="93" spans="1:5" x14ac:dyDescent="0.35">
      <c r="A93">
        <f t="shared" si="5"/>
        <v>92</v>
      </c>
      <c r="B93">
        <f>HunterDPS!K93</f>
        <v>94.779038664095822</v>
      </c>
      <c r="C93">
        <f>KaijuSim!K93</f>
        <v>99.587616149824825</v>
      </c>
      <c r="D93" t="str">
        <f t="shared" si="3"/>
        <v>Hunters</v>
      </c>
      <c r="E93">
        <f t="shared" si="4"/>
        <v>94.779038664095822</v>
      </c>
    </row>
    <row r="94" spans="1:5" x14ac:dyDescent="0.35">
      <c r="A94">
        <f t="shared" si="5"/>
        <v>93</v>
      </c>
      <c r="B94">
        <f>HunterDPS!K94</f>
        <v>99.2312915318915</v>
      </c>
      <c r="C94">
        <f>KaijuSim!K94</f>
        <v>96.801427269910562</v>
      </c>
      <c r="D94" t="str">
        <f t="shared" si="3"/>
        <v>Kaiju</v>
      </c>
      <c r="E94">
        <f t="shared" si="4"/>
        <v>96.801427269910562</v>
      </c>
    </row>
    <row r="95" spans="1:5" x14ac:dyDescent="0.35">
      <c r="A95">
        <f t="shared" si="5"/>
        <v>94</v>
      </c>
      <c r="B95">
        <f>HunterDPS!K95</f>
        <v>85.86146013001121</v>
      </c>
      <c r="C95">
        <f>KaijuSim!K95</f>
        <v>96.587563485389424</v>
      </c>
      <c r="D95" t="str">
        <f t="shared" si="3"/>
        <v>Hunters</v>
      </c>
      <c r="E95">
        <f t="shared" si="4"/>
        <v>85.86146013001121</v>
      </c>
    </row>
    <row r="96" spans="1:5" x14ac:dyDescent="0.35">
      <c r="A96">
        <f t="shared" si="5"/>
        <v>95</v>
      </c>
      <c r="B96">
        <f>HunterDPS!K96</f>
        <v>101.87980437858353</v>
      </c>
      <c r="C96">
        <f>KaijuSim!K96</f>
        <v>100.70600492183665</v>
      </c>
      <c r="D96" t="str">
        <f t="shared" si="3"/>
        <v>Kaiju</v>
      </c>
      <c r="E96">
        <f t="shared" si="4"/>
        <v>100.70600492183665</v>
      </c>
    </row>
    <row r="97" spans="1:5" x14ac:dyDescent="0.35">
      <c r="A97">
        <f t="shared" si="5"/>
        <v>96</v>
      </c>
      <c r="B97">
        <f>HunterDPS!K97</f>
        <v>104.54509826302635</v>
      </c>
      <c r="C97">
        <f>KaijuSim!K97</f>
        <v>94.950403962570931</v>
      </c>
      <c r="D97" t="str">
        <f t="shared" si="3"/>
        <v>Kaiju</v>
      </c>
      <c r="E97">
        <f t="shared" si="4"/>
        <v>94.950403962570931</v>
      </c>
    </row>
    <row r="98" spans="1:5" x14ac:dyDescent="0.35">
      <c r="A98">
        <f t="shared" si="5"/>
        <v>97</v>
      </c>
      <c r="B98">
        <f>HunterDPS!K98</f>
        <v>91.672540736166582</v>
      </c>
      <c r="C98">
        <f>KaijuSim!K98</f>
        <v>99.498309350705682</v>
      </c>
      <c r="D98" t="str">
        <f t="shared" si="3"/>
        <v>Hunters</v>
      </c>
      <c r="E98">
        <f t="shared" si="4"/>
        <v>91.672540736166582</v>
      </c>
    </row>
    <row r="99" spans="1:5" x14ac:dyDescent="0.35">
      <c r="A99">
        <f t="shared" si="5"/>
        <v>98</v>
      </c>
      <c r="B99">
        <f>HunterDPS!K99</f>
        <v>104.53151333188437</v>
      </c>
      <c r="C99">
        <f>KaijuSim!K99</f>
        <v>93.622857181057313</v>
      </c>
      <c r="D99" t="str">
        <f t="shared" si="3"/>
        <v>Kaiju</v>
      </c>
      <c r="E99">
        <f t="shared" si="4"/>
        <v>93.622857181057313</v>
      </c>
    </row>
    <row r="100" spans="1:5" x14ac:dyDescent="0.35">
      <c r="A100">
        <f t="shared" si="5"/>
        <v>99</v>
      </c>
      <c r="B100">
        <f>HunterDPS!K100</f>
        <v>97.446640709955247</v>
      </c>
      <c r="C100">
        <f>KaijuSim!K100</f>
        <v>96.612844748464966</v>
      </c>
      <c r="D100" t="str">
        <f t="shared" si="3"/>
        <v>Kaiju</v>
      </c>
      <c r="E100">
        <f t="shared" si="4"/>
        <v>96.612844748464966</v>
      </c>
    </row>
    <row r="101" spans="1:5" x14ac:dyDescent="0.35">
      <c r="A101">
        <f t="shared" si="5"/>
        <v>100</v>
      </c>
      <c r="B101">
        <f>HunterDPS!K101</f>
        <v>96.627923678468363</v>
      </c>
      <c r="C101">
        <f>KaijuSim!K101</f>
        <v>99.626291330952967</v>
      </c>
      <c r="D101" t="str">
        <f t="shared" si="3"/>
        <v>Hunters</v>
      </c>
      <c r="E101">
        <f t="shared" si="4"/>
        <v>96.627923678468363</v>
      </c>
    </row>
    <row r="102" spans="1:5" x14ac:dyDescent="0.35">
      <c r="A102">
        <f t="shared" si="5"/>
        <v>101</v>
      </c>
      <c r="B102">
        <f>HunterDPS!K102</f>
        <v>100.74605891123397</v>
      </c>
      <c r="C102">
        <f>KaijuSim!K102</f>
        <v>95.305347130668167</v>
      </c>
      <c r="D102" t="str">
        <f t="shared" si="3"/>
        <v>Kaiju</v>
      </c>
      <c r="E102">
        <f t="shared" si="4"/>
        <v>95.305347130668167</v>
      </c>
    </row>
    <row r="103" spans="1:5" x14ac:dyDescent="0.35">
      <c r="A103">
        <f t="shared" si="5"/>
        <v>102</v>
      </c>
      <c r="B103">
        <f>HunterDPS!K103</f>
        <v>92.423870046973121</v>
      </c>
      <c r="C103">
        <f>KaijuSim!K103</f>
        <v>98.15540192130122</v>
      </c>
      <c r="D103" t="str">
        <f t="shared" si="3"/>
        <v>Hunters</v>
      </c>
      <c r="E103">
        <f t="shared" si="4"/>
        <v>92.423870046973121</v>
      </c>
    </row>
    <row r="104" spans="1:5" x14ac:dyDescent="0.35">
      <c r="A104">
        <f t="shared" si="5"/>
        <v>103</v>
      </c>
      <c r="B104">
        <f>HunterDPS!K104</f>
        <v>83.314726568817463</v>
      </c>
      <c r="C104">
        <f>KaijuSim!K104</f>
        <v>95.579814407136951</v>
      </c>
      <c r="D104" t="str">
        <f t="shared" si="3"/>
        <v>Hunters</v>
      </c>
      <c r="E104">
        <f t="shared" si="4"/>
        <v>83.314726568817463</v>
      </c>
    </row>
    <row r="105" spans="1:5" x14ac:dyDescent="0.35">
      <c r="A105">
        <f t="shared" si="5"/>
        <v>104</v>
      </c>
      <c r="B105">
        <f>HunterDPS!K105</f>
        <v>89.8534287232537</v>
      </c>
      <c r="C105">
        <f>KaijuSim!K105</f>
        <v>94.521112026397603</v>
      </c>
      <c r="D105" t="str">
        <f t="shared" si="3"/>
        <v>Hunters</v>
      </c>
      <c r="E105">
        <f t="shared" si="4"/>
        <v>89.8534287232537</v>
      </c>
    </row>
    <row r="106" spans="1:5" x14ac:dyDescent="0.35">
      <c r="A106">
        <f t="shared" si="5"/>
        <v>105</v>
      </c>
      <c r="B106">
        <f>HunterDPS!K106</f>
        <v>79.120945538886957</v>
      </c>
      <c r="C106">
        <f>KaijuSim!K106</f>
        <v>101.66181184092075</v>
      </c>
      <c r="D106" t="str">
        <f t="shared" si="3"/>
        <v>Hunters</v>
      </c>
      <c r="E106">
        <f t="shared" si="4"/>
        <v>79.120945538886957</v>
      </c>
    </row>
    <row r="107" spans="1:5" x14ac:dyDescent="0.35">
      <c r="A107">
        <f t="shared" si="5"/>
        <v>106</v>
      </c>
      <c r="B107">
        <f>HunterDPS!K107</f>
        <v>95.196603976897649</v>
      </c>
      <c r="C107">
        <f>KaijuSim!K107</f>
        <v>99.464863827686713</v>
      </c>
      <c r="D107" t="str">
        <f t="shared" si="3"/>
        <v>Hunters</v>
      </c>
      <c r="E107">
        <f t="shared" si="4"/>
        <v>95.196603976897649</v>
      </c>
    </row>
    <row r="108" spans="1:5" x14ac:dyDescent="0.35">
      <c r="A108">
        <f t="shared" si="5"/>
        <v>107</v>
      </c>
      <c r="B108">
        <f>HunterDPS!K108</f>
        <v>89.827912739633163</v>
      </c>
      <c r="C108">
        <f>KaijuSim!K108</f>
        <v>98.442974616172236</v>
      </c>
      <c r="D108" t="str">
        <f t="shared" si="3"/>
        <v>Hunters</v>
      </c>
      <c r="E108">
        <f t="shared" si="4"/>
        <v>89.827912739633163</v>
      </c>
    </row>
    <row r="109" spans="1:5" x14ac:dyDescent="0.35">
      <c r="A109">
        <f t="shared" si="5"/>
        <v>108</v>
      </c>
      <c r="B109">
        <f>HunterDPS!K109</f>
        <v>92.140158316424973</v>
      </c>
      <c r="C109">
        <f>KaijuSim!K109</f>
        <v>97.019569822692375</v>
      </c>
      <c r="D109" t="str">
        <f t="shared" si="3"/>
        <v>Hunters</v>
      </c>
      <c r="E109">
        <f t="shared" si="4"/>
        <v>92.140158316424973</v>
      </c>
    </row>
    <row r="110" spans="1:5" x14ac:dyDescent="0.35">
      <c r="A110">
        <f t="shared" si="5"/>
        <v>109</v>
      </c>
      <c r="B110">
        <f>HunterDPS!K110</f>
        <v>94.101602331806291</v>
      </c>
      <c r="C110">
        <f>KaijuSim!K110</f>
        <v>102.53096167288295</v>
      </c>
      <c r="D110" t="str">
        <f t="shared" si="3"/>
        <v>Hunters</v>
      </c>
      <c r="E110">
        <f t="shared" si="4"/>
        <v>94.101602331806291</v>
      </c>
    </row>
    <row r="111" spans="1:5" x14ac:dyDescent="0.35">
      <c r="A111">
        <f t="shared" si="5"/>
        <v>110</v>
      </c>
      <c r="B111">
        <f>HunterDPS!K111</f>
        <v>95.672003782528222</v>
      </c>
      <c r="C111">
        <f>KaijuSim!K111</f>
        <v>95.956555976022287</v>
      </c>
      <c r="D111" t="str">
        <f t="shared" si="3"/>
        <v>Hunters</v>
      </c>
      <c r="E111">
        <f t="shared" si="4"/>
        <v>95.672003782528222</v>
      </c>
    </row>
    <row r="112" spans="1:5" x14ac:dyDescent="0.35">
      <c r="A112">
        <f t="shared" si="5"/>
        <v>111</v>
      </c>
      <c r="B112">
        <f>HunterDPS!K112</f>
        <v>83.958407783184811</v>
      </c>
      <c r="C112">
        <f>KaijuSim!K112</f>
        <v>93.979624239329965</v>
      </c>
      <c r="D112" t="str">
        <f t="shared" si="3"/>
        <v>Hunters</v>
      </c>
      <c r="E112">
        <f t="shared" si="4"/>
        <v>83.958407783184811</v>
      </c>
    </row>
    <row r="113" spans="1:5" x14ac:dyDescent="0.35">
      <c r="A113">
        <f t="shared" si="5"/>
        <v>112</v>
      </c>
      <c r="B113">
        <f>HunterDPS!K113</f>
        <v>128.53504958165675</v>
      </c>
      <c r="C113">
        <f>KaijuSim!K113</f>
        <v>95.280989420809703</v>
      </c>
      <c r="D113" t="str">
        <f t="shared" si="3"/>
        <v>Kaiju</v>
      </c>
      <c r="E113">
        <f t="shared" si="4"/>
        <v>95.280989420809703</v>
      </c>
    </row>
    <row r="114" spans="1:5" x14ac:dyDescent="0.35">
      <c r="A114">
        <f t="shared" si="5"/>
        <v>113</v>
      </c>
      <c r="B114">
        <f>HunterDPS!K114</f>
        <v>99.738567839729811</v>
      </c>
      <c r="C114">
        <f>KaijuSim!K114</f>
        <v>96.963917751068294</v>
      </c>
      <c r="D114" t="str">
        <f t="shared" si="3"/>
        <v>Kaiju</v>
      </c>
      <c r="E114">
        <f t="shared" si="4"/>
        <v>96.963917751068294</v>
      </c>
    </row>
    <row r="115" spans="1:5" x14ac:dyDescent="0.35">
      <c r="A115">
        <f t="shared" si="5"/>
        <v>114</v>
      </c>
      <c r="B115">
        <f>HunterDPS!K115</f>
        <v>88.237942016149191</v>
      </c>
      <c r="C115">
        <f>KaijuSim!K115</f>
        <v>99.479157606758093</v>
      </c>
      <c r="D115" t="str">
        <f t="shared" si="3"/>
        <v>Hunters</v>
      </c>
      <c r="E115">
        <f t="shared" si="4"/>
        <v>88.237942016149191</v>
      </c>
    </row>
    <row r="116" spans="1:5" x14ac:dyDescent="0.35">
      <c r="A116">
        <f t="shared" si="5"/>
        <v>115</v>
      </c>
      <c r="B116">
        <f>HunterDPS!K116</f>
        <v>80.48935503774517</v>
      </c>
      <c r="C116">
        <f>KaijuSim!K116</f>
        <v>96.336363153512551</v>
      </c>
      <c r="D116" t="str">
        <f t="shared" si="3"/>
        <v>Hunters</v>
      </c>
      <c r="E116">
        <f t="shared" si="4"/>
        <v>80.48935503774517</v>
      </c>
    </row>
    <row r="117" spans="1:5" x14ac:dyDescent="0.35">
      <c r="A117">
        <f t="shared" si="5"/>
        <v>116</v>
      </c>
      <c r="B117">
        <f>HunterDPS!K117</f>
        <v>116.89449011466985</v>
      </c>
      <c r="C117">
        <f>KaijuSim!K117</f>
        <v>97.20502511655431</v>
      </c>
      <c r="D117" t="str">
        <f t="shared" si="3"/>
        <v>Kaiju</v>
      </c>
      <c r="E117">
        <f t="shared" si="4"/>
        <v>97.20502511655431</v>
      </c>
    </row>
    <row r="118" spans="1:5" x14ac:dyDescent="0.35">
      <c r="A118">
        <f t="shared" si="5"/>
        <v>117</v>
      </c>
      <c r="B118">
        <f>HunterDPS!K118</f>
        <v>97.347299512923414</v>
      </c>
      <c r="C118">
        <f>KaijuSim!K118</f>
        <v>93.1516298278341</v>
      </c>
      <c r="D118" t="str">
        <f t="shared" si="3"/>
        <v>Kaiju</v>
      </c>
      <c r="E118">
        <f t="shared" si="4"/>
        <v>93.1516298278341</v>
      </c>
    </row>
    <row r="119" spans="1:5" x14ac:dyDescent="0.35">
      <c r="A119">
        <f t="shared" si="5"/>
        <v>118</v>
      </c>
      <c r="B119">
        <f>HunterDPS!K119</f>
        <v>97.500072943070492</v>
      </c>
      <c r="C119">
        <f>KaijuSim!K119</f>
        <v>95.569246048376556</v>
      </c>
      <c r="D119" t="str">
        <f t="shared" si="3"/>
        <v>Kaiju</v>
      </c>
      <c r="E119">
        <f t="shared" si="4"/>
        <v>95.569246048376556</v>
      </c>
    </row>
    <row r="120" spans="1:5" x14ac:dyDescent="0.35">
      <c r="A120">
        <f t="shared" si="5"/>
        <v>119</v>
      </c>
      <c r="B120">
        <f>HunterDPS!K120</f>
        <v>93.912619496217118</v>
      </c>
      <c r="C120">
        <f>KaijuSim!K120</f>
        <v>95.836422751158338</v>
      </c>
      <c r="D120" t="str">
        <f t="shared" si="3"/>
        <v>Hunters</v>
      </c>
      <c r="E120">
        <f t="shared" si="4"/>
        <v>93.912619496217118</v>
      </c>
    </row>
    <row r="121" spans="1:5" x14ac:dyDescent="0.35">
      <c r="A121">
        <f t="shared" si="5"/>
        <v>120</v>
      </c>
      <c r="B121">
        <f>HunterDPS!K121</f>
        <v>87.406157763133834</v>
      </c>
      <c r="C121">
        <f>KaijuSim!K121</f>
        <v>96.147430852508492</v>
      </c>
      <c r="D121" t="str">
        <f t="shared" si="3"/>
        <v>Hunters</v>
      </c>
      <c r="E121">
        <f t="shared" si="4"/>
        <v>87.406157763133834</v>
      </c>
    </row>
    <row r="122" spans="1:5" x14ac:dyDescent="0.35">
      <c r="A122">
        <f t="shared" si="5"/>
        <v>121</v>
      </c>
      <c r="B122">
        <f>HunterDPS!K122</f>
        <v>109.94526857687251</v>
      </c>
      <c r="C122">
        <f>KaijuSim!K122</f>
        <v>91.961087448608254</v>
      </c>
      <c r="D122" t="str">
        <f t="shared" si="3"/>
        <v>Kaiju</v>
      </c>
      <c r="E122">
        <f t="shared" si="4"/>
        <v>91.961087448608254</v>
      </c>
    </row>
    <row r="123" spans="1:5" x14ac:dyDescent="0.35">
      <c r="A123">
        <f t="shared" si="5"/>
        <v>122</v>
      </c>
      <c r="B123">
        <f>HunterDPS!K123</f>
        <v>91.784853498828241</v>
      </c>
      <c r="C123">
        <f>KaijuSim!K123</f>
        <v>95.733186852539561</v>
      </c>
      <c r="D123" t="str">
        <f t="shared" si="3"/>
        <v>Hunters</v>
      </c>
      <c r="E123">
        <f t="shared" si="4"/>
        <v>91.784853498828241</v>
      </c>
    </row>
    <row r="124" spans="1:5" x14ac:dyDescent="0.35">
      <c r="A124">
        <f t="shared" si="5"/>
        <v>123</v>
      </c>
      <c r="B124">
        <f>HunterDPS!K124</f>
        <v>96.06172852659752</v>
      </c>
      <c r="C124">
        <f>KaijuSim!K124</f>
        <v>100.13420732592814</v>
      </c>
      <c r="D124" t="str">
        <f t="shared" si="3"/>
        <v>Hunters</v>
      </c>
      <c r="E124">
        <f t="shared" si="4"/>
        <v>96.06172852659752</v>
      </c>
    </row>
    <row r="125" spans="1:5" x14ac:dyDescent="0.35">
      <c r="A125">
        <f t="shared" si="5"/>
        <v>124</v>
      </c>
      <c r="B125">
        <f>HunterDPS!K125</f>
        <v>95.947893901713527</v>
      </c>
      <c r="C125">
        <f>KaijuSim!K125</f>
        <v>103.59753892189119</v>
      </c>
      <c r="D125" t="str">
        <f t="shared" si="3"/>
        <v>Hunters</v>
      </c>
      <c r="E125">
        <f t="shared" si="4"/>
        <v>95.947893901713527</v>
      </c>
    </row>
    <row r="126" spans="1:5" x14ac:dyDescent="0.35">
      <c r="A126">
        <f t="shared" si="5"/>
        <v>125</v>
      </c>
      <c r="B126">
        <f>HunterDPS!K126</f>
        <v>130.32034397007311</v>
      </c>
      <c r="C126">
        <f>KaijuSim!K126</f>
        <v>98.284272281979128</v>
      </c>
      <c r="D126" t="str">
        <f t="shared" si="3"/>
        <v>Kaiju</v>
      </c>
      <c r="E126">
        <f t="shared" si="4"/>
        <v>98.284272281979128</v>
      </c>
    </row>
    <row r="127" spans="1:5" x14ac:dyDescent="0.35">
      <c r="A127">
        <f t="shared" si="5"/>
        <v>126</v>
      </c>
      <c r="B127">
        <f>HunterDPS!K127</f>
        <v>89.854820495627649</v>
      </c>
      <c r="C127">
        <f>KaijuSim!K127</f>
        <v>99.114374446367904</v>
      </c>
      <c r="D127" t="str">
        <f t="shared" si="3"/>
        <v>Hunters</v>
      </c>
      <c r="E127">
        <f t="shared" si="4"/>
        <v>89.854820495627649</v>
      </c>
    </row>
    <row r="128" spans="1:5" x14ac:dyDescent="0.35">
      <c r="A128">
        <f t="shared" si="5"/>
        <v>127</v>
      </c>
      <c r="B128">
        <f>HunterDPS!K128</f>
        <v>103.31798339651027</v>
      </c>
      <c r="C128">
        <f>KaijuSim!K128</f>
        <v>99.103545337657238</v>
      </c>
      <c r="D128" t="str">
        <f t="shared" si="3"/>
        <v>Kaiju</v>
      </c>
      <c r="E128">
        <f t="shared" si="4"/>
        <v>99.103545337657238</v>
      </c>
    </row>
    <row r="129" spans="1:5" x14ac:dyDescent="0.35">
      <c r="A129">
        <f t="shared" si="5"/>
        <v>128</v>
      </c>
      <c r="B129">
        <f>HunterDPS!K129</f>
        <v>75.232943931534095</v>
      </c>
      <c r="C129">
        <f>KaijuSim!K129</f>
        <v>103.49590445222421</v>
      </c>
      <c r="D129" t="str">
        <f t="shared" si="3"/>
        <v>Hunters</v>
      </c>
      <c r="E129">
        <f t="shared" si="4"/>
        <v>75.232943931534095</v>
      </c>
    </row>
    <row r="130" spans="1:5" x14ac:dyDescent="0.35">
      <c r="A130">
        <f t="shared" si="5"/>
        <v>129</v>
      </c>
      <c r="B130">
        <f>HunterDPS!K130</f>
        <v>101.23415102133211</v>
      </c>
      <c r="C130">
        <f>KaijuSim!K130</f>
        <v>99.017588715412415</v>
      </c>
      <c r="D130" t="str">
        <f t="shared" si="3"/>
        <v>Kaiju</v>
      </c>
      <c r="E130">
        <f t="shared" si="4"/>
        <v>99.017588715412415</v>
      </c>
    </row>
    <row r="131" spans="1:5" x14ac:dyDescent="0.35">
      <c r="A131">
        <f t="shared" si="5"/>
        <v>130</v>
      </c>
      <c r="B131">
        <f>HunterDPS!K131</f>
        <v>115.26010862416379</v>
      </c>
      <c r="C131">
        <f>KaijuSim!K131</f>
        <v>93.625996175732269</v>
      </c>
      <c r="D131" t="str">
        <f t="shared" ref="D131:D194" si="6">IF(B131 &lt; C131, "Hunters", "Kaiju")</f>
        <v>Kaiju</v>
      </c>
      <c r="E131">
        <f t="shared" ref="E131:E194" si="7">MIN(B131, C131)</f>
        <v>93.625996175732269</v>
      </c>
    </row>
    <row r="132" spans="1:5" x14ac:dyDescent="0.35">
      <c r="A132">
        <f t="shared" ref="A132:A195" si="8">A131+1</f>
        <v>131</v>
      </c>
      <c r="B132">
        <f>HunterDPS!K132</f>
        <v>91.568740900094141</v>
      </c>
      <c r="C132">
        <f>KaijuSim!K132</f>
        <v>96.610028890598571</v>
      </c>
      <c r="D132" t="str">
        <f t="shared" si="6"/>
        <v>Hunters</v>
      </c>
      <c r="E132">
        <f t="shared" si="7"/>
        <v>91.568740900094141</v>
      </c>
    </row>
    <row r="133" spans="1:5" x14ac:dyDescent="0.35">
      <c r="A133">
        <f t="shared" si="8"/>
        <v>132</v>
      </c>
      <c r="B133">
        <f>HunterDPS!K133</f>
        <v>87.006263218143545</v>
      </c>
      <c r="C133">
        <f>KaijuSim!K133</f>
        <v>94.406644773031957</v>
      </c>
      <c r="D133" t="str">
        <f t="shared" si="6"/>
        <v>Hunters</v>
      </c>
      <c r="E133">
        <f t="shared" si="7"/>
        <v>87.006263218143545</v>
      </c>
    </row>
    <row r="134" spans="1:5" x14ac:dyDescent="0.35">
      <c r="A134">
        <f t="shared" si="8"/>
        <v>133</v>
      </c>
      <c r="B134">
        <f>HunterDPS!K134</f>
        <v>103.93004669581575</v>
      </c>
      <c r="C134">
        <f>KaijuSim!K134</f>
        <v>99.507410241697826</v>
      </c>
      <c r="D134" t="str">
        <f t="shared" si="6"/>
        <v>Kaiju</v>
      </c>
      <c r="E134">
        <f t="shared" si="7"/>
        <v>99.507410241697826</v>
      </c>
    </row>
    <row r="135" spans="1:5" x14ac:dyDescent="0.35">
      <c r="A135">
        <f t="shared" si="8"/>
        <v>134</v>
      </c>
      <c r="B135">
        <f>HunterDPS!K135</f>
        <v>104.67996273475862</v>
      </c>
      <c r="C135">
        <f>KaijuSim!K135</f>
        <v>91.579999362048255</v>
      </c>
      <c r="D135" t="str">
        <f t="shared" si="6"/>
        <v>Kaiju</v>
      </c>
      <c r="E135">
        <f t="shared" si="7"/>
        <v>91.579999362048255</v>
      </c>
    </row>
    <row r="136" spans="1:5" x14ac:dyDescent="0.35">
      <c r="A136">
        <f t="shared" si="8"/>
        <v>135</v>
      </c>
      <c r="B136">
        <f>HunterDPS!K136</f>
        <v>104.29883320284391</v>
      </c>
      <c r="C136">
        <f>KaijuSim!K136</f>
        <v>95.779347638200079</v>
      </c>
      <c r="D136" t="str">
        <f t="shared" si="6"/>
        <v>Kaiju</v>
      </c>
      <c r="E136">
        <f t="shared" si="7"/>
        <v>95.779347638200079</v>
      </c>
    </row>
    <row r="137" spans="1:5" x14ac:dyDescent="0.35">
      <c r="A137">
        <f t="shared" si="8"/>
        <v>136</v>
      </c>
      <c r="B137">
        <f>HunterDPS!K137</f>
        <v>86.407757280947962</v>
      </c>
      <c r="C137">
        <f>KaijuSim!K137</f>
        <v>98.793023419480093</v>
      </c>
      <c r="D137" t="str">
        <f t="shared" si="6"/>
        <v>Hunters</v>
      </c>
      <c r="E137">
        <f t="shared" si="7"/>
        <v>86.407757280947962</v>
      </c>
    </row>
    <row r="138" spans="1:5" x14ac:dyDescent="0.35">
      <c r="A138">
        <f t="shared" si="8"/>
        <v>137</v>
      </c>
      <c r="B138">
        <f>HunterDPS!K138</f>
        <v>95.489582247387261</v>
      </c>
      <c r="C138">
        <f>KaijuSim!K138</f>
        <v>92.133261505011021</v>
      </c>
      <c r="D138" t="str">
        <f t="shared" si="6"/>
        <v>Kaiju</v>
      </c>
      <c r="E138">
        <f t="shared" si="7"/>
        <v>92.133261505011021</v>
      </c>
    </row>
    <row r="139" spans="1:5" x14ac:dyDescent="0.35">
      <c r="A139">
        <f t="shared" si="8"/>
        <v>138</v>
      </c>
      <c r="B139">
        <f>HunterDPS!K139</f>
        <v>102.96969108024257</v>
      </c>
      <c r="C139">
        <f>KaijuSim!K139</f>
        <v>97.396889193454996</v>
      </c>
      <c r="D139" t="str">
        <f t="shared" si="6"/>
        <v>Kaiju</v>
      </c>
      <c r="E139">
        <f t="shared" si="7"/>
        <v>97.396889193454996</v>
      </c>
    </row>
    <row r="140" spans="1:5" x14ac:dyDescent="0.35">
      <c r="A140">
        <f t="shared" si="8"/>
        <v>139</v>
      </c>
      <c r="B140">
        <f>HunterDPS!K140</f>
        <v>108.95986614973165</v>
      </c>
      <c r="C140">
        <f>KaijuSim!K140</f>
        <v>94.932195508896527</v>
      </c>
      <c r="D140" t="str">
        <f t="shared" si="6"/>
        <v>Kaiju</v>
      </c>
      <c r="E140">
        <f t="shared" si="7"/>
        <v>94.932195508896527</v>
      </c>
    </row>
    <row r="141" spans="1:5" x14ac:dyDescent="0.35">
      <c r="A141">
        <f t="shared" si="8"/>
        <v>140</v>
      </c>
      <c r="B141">
        <f>HunterDPS!K141</f>
        <v>81.735487347848789</v>
      </c>
      <c r="C141">
        <f>KaijuSim!K141</f>
        <v>96.329609876425508</v>
      </c>
      <c r="D141" t="str">
        <f t="shared" si="6"/>
        <v>Hunters</v>
      </c>
      <c r="E141">
        <f t="shared" si="7"/>
        <v>81.735487347848789</v>
      </c>
    </row>
    <row r="142" spans="1:5" x14ac:dyDescent="0.35">
      <c r="A142">
        <f t="shared" si="8"/>
        <v>141</v>
      </c>
      <c r="B142">
        <f>HunterDPS!K142</f>
        <v>120.61168040471547</v>
      </c>
      <c r="C142">
        <f>KaijuSim!K142</f>
        <v>99.751585294001927</v>
      </c>
      <c r="D142" t="str">
        <f t="shared" si="6"/>
        <v>Kaiju</v>
      </c>
      <c r="E142">
        <f t="shared" si="7"/>
        <v>99.751585294001927</v>
      </c>
    </row>
    <row r="143" spans="1:5" x14ac:dyDescent="0.35">
      <c r="A143">
        <f t="shared" si="8"/>
        <v>142</v>
      </c>
      <c r="B143">
        <f>HunterDPS!K143</f>
        <v>91.206499571005935</v>
      </c>
      <c r="C143">
        <f>KaijuSim!K143</f>
        <v>91.842782982125115</v>
      </c>
      <c r="D143" t="str">
        <f t="shared" si="6"/>
        <v>Hunters</v>
      </c>
      <c r="E143">
        <f t="shared" si="7"/>
        <v>91.206499571005935</v>
      </c>
    </row>
    <row r="144" spans="1:5" x14ac:dyDescent="0.35">
      <c r="A144">
        <f t="shared" si="8"/>
        <v>143</v>
      </c>
      <c r="B144">
        <f>HunterDPS!K144</f>
        <v>105.17703336200775</v>
      </c>
      <c r="C144">
        <f>KaijuSim!K144</f>
        <v>96.511465102586172</v>
      </c>
      <c r="D144" t="str">
        <f t="shared" si="6"/>
        <v>Kaiju</v>
      </c>
      <c r="E144">
        <f t="shared" si="7"/>
        <v>96.511465102586172</v>
      </c>
    </row>
    <row r="145" spans="1:5" x14ac:dyDescent="0.35">
      <c r="A145">
        <f t="shared" si="8"/>
        <v>144</v>
      </c>
      <c r="B145">
        <f>HunterDPS!K145</f>
        <v>104.65487439005437</v>
      </c>
      <c r="C145">
        <f>KaijuSim!K145</f>
        <v>96.643322172533502</v>
      </c>
      <c r="D145" t="str">
        <f t="shared" si="6"/>
        <v>Kaiju</v>
      </c>
      <c r="E145">
        <f t="shared" si="7"/>
        <v>96.643322172533502</v>
      </c>
    </row>
    <row r="146" spans="1:5" x14ac:dyDescent="0.35">
      <c r="A146">
        <f t="shared" si="8"/>
        <v>145</v>
      </c>
      <c r="B146">
        <f>HunterDPS!K146</f>
        <v>99.253956044692558</v>
      </c>
      <c r="C146">
        <f>KaijuSim!K146</f>
        <v>99.017161465888094</v>
      </c>
      <c r="D146" t="str">
        <f t="shared" si="6"/>
        <v>Kaiju</v>
      </c>
      <c r="E146">
        <f t="shared" si="7"/>
        <v>99.017161465888094</v>
      </c>
    </row>
    <row r="147" spans="1:5" x14ac:dyDescent="0.35">
      <c r="A147">
        <f t="shared" si="8"/>
        <v>146</v>
      </c>
      <c r="B147">
        <f>HunterDPS!K147</f>
        <v>85.925623652178189</v>
      </c>
      <c r="C147">
        <f>KaijuSim!K147</f>
        <v>94.315152901269229</v>
      </c>
      <c r="D147" t="str">
        <f t="shared" si="6"/>
        <v>Hunters</v>
      </c>
      <c r="E147">
        <f t="shared" si="7"/>
        <v>85.925623652178189</v>
      </c>
    </row>
    <row r="148" spans="1:5" x14ac:dyDescent="0.35">
      <c r="A148">
        <f t="shared" si="8"/>
        <v>147</v>
      </c>
      <c r="B148">
        <f>HunterDPS!K148</f>
        <v>95.245302997350635</v>
      </c>
      <c r="C148">
        <f>KaijuSim!K148</f>
        <v>93.93908327322886</v>
      </c>
      <c r="D148" t="str">
        <f t="shared" si="6"/>
        <v>Kaiju</v>
      </c>
      <c r="E148">
        <f t="shared" si="7"/>
        <v>93.93908327322886</v>
      </c>
    </row>
    <row r="149" spans="1:5" x14ac:dyDescent="0.35">
      <c r="A149">
        <f t="shared" si="8"/>
        <v>148</v>
      </c>
      <c r="B149">
        <f>HunterDPS!K149</f>
        <v>105.12259122825768</v>
      </c>
      <c r="C149">
        <f>KaijuSim!K149</f>
        <v>94.314048669457065</v>
      </c>
      <c r="D149" t="str">
        <f t="shared" si="6"/>
        <v>Kaiju</v>
      </c>
      <c r="E149">
        <f t="shared" si="7"/>
        <v>94.314048669457065</v>
      </c>
    </row>
    <row r="150" spans="1:5" x14ac:dyDescent="0.35">
      <c r="A150">
        <f t="shared" si="8"/>
        <v>149</v>
      </c>
      <c r="B150">
        <f>HunterDPS!K150</f>
        <v>110.34988232629556</v>
      </c>
      <c r="C150">
        <f>KaijuSim!K150</f>
        <v>95.175664079770115</v>
      </c>
      <c r="D150" t="str">
        <f t="shared" si="6"/>
        <v>Kaiju</v>
      </c>
      <c r="E150">
        <f t="shared" si="7"/>
        <v>95.175664079770115</v>
      </c>
    </row>
    <row r="151" spans="1:5" x14ac:dyDescent="0.35">
      <c r="A151">
        <f t="shared" si="8"/>
        <v>150</v>
      </c>
      <c r="B151">
        <f>HunterDPS!K151</f>
        <v>100.97709746179218</v>
      </c>
      <c r="C151">
        <f>KaijuSim!K151</f>
        <v>95.22549965882888</v>
      </c>
      <c r="D151" t="str">
        <f t="shared" si="6"/>
        <v>Kaiju</v>
      </c>
      <c r="E151">
        <f t="shared" si="7"/>
        <v>95.22549965882888</v>
      </c>
    </row>
    <row r="152" spans="1:5" x14ac:dyDescent="0.35">
      <c r="A152">
        <f t="shared" si="8"/>
        <v>151</v>
      </c>
      <c r="B152">
        <f>HunterDPS!K152</f>
        <v>100.38530058183534</v>
      </c>
      <c r="C152">
        <f>KaijuSim!K152</f>
        <v>96.833235851862653</v>
      </c>
      <c r="D152" t="str">
        <f t="shared" si="6"/>
        <v>Kaiju</v>
      </c>
      <c r="E152">
        <f t="shared" si="7"/>
        <v>96.833235851862653</v>
      </c>
    </row>
    <row r="153" spans="1:5" x14ac:dyDescent="0.35">
      <c r="A153">
        <f t="shared" si="8"/>
        <v>152</v>
      </c>
      <c r="B153">
        <f>HunterDPS!K153</f>
        <v>94.717248045211235</v>
      </c>
      <c r="C153">
        <f>KaijuSim!K153</f>
        <v>93.471871690843983</v>
      </c>
      <c r="D153" t="str">
        <f t="shared" si="6"/>
        <v>Kaiju</v>
      </c>
      <c r="E153">
        <f t="shared" si="7"/>
        <v>93.471871690843983</v>
      </c>
    </row>
    <row r="154" spans="1:5" x14ac:dyDescent="0.35">
      <c r="A154">
        <f t="shared" si="8"/>
        <v>153</v>
      </c>
      <c r="B154">
        <f>HunterDPS!K154</f>
        <v>108.44306221244895</v>
      </c>
      <c r="C154">
        <f>KaijuSim!K154</f>
        <v>96.561233839208285</v>
      </c>
      <c r="D154" t="str">
        <f t="shared" si="6"/>
        <v>Kaiju</v>
      </c>
      <c r="E154">
        <f t="shared" si="7"/>
        <v>96.561233839208285</v>
      </c>
    </row>
    <row r="155" spans="1:5" x14ac:dyDescent="0.35">
      <c r="A155">
        <f t="shared" si="8"/>
        <v>154</v>
      </c>
      <c r="B155">
        <f>HunterDPS!K155</f>
        <v>99.16634620085415</v>
      </c>
      <c r="C155">
        <f>KaijuSim!K155</f>
        <v>95.848501850416866</v>
      </c>
      <c r="D155" t="str">
        <f t="shared" si="6"/>
        <v>Kaiju</v>
      </c>
      <c r="E155">
        <f t="shared" si="7"/>
        <v>95.848501850416866</v>
      </c>
    </row>
    <row r="156" spans="1:5" x14ac:dyDescent="0.35">
      <c r="A156">
        <f t="shared" si="8"/>
        <v>155</v>
      </c>
      <c r="B156">
        <f>HunterDPS!K156</f>
        <v>121.12261566311359</v>
      </c>
      <c r="C156">
        <f>KaijuSim!K156</f>
        <v>91.992437112894706</v>
      </c>
      <c r="D156" t="str">
        <f t="shared" si="6"/>
        <v>Kaiju</v>
      </c>
      <c r="E156">
        <f t="shared" si="7"/>
        <v>91.992437112894706</v>
      </c>
    </row>
    <row r="157" spans="1:5" x14ac:dyDescent="0.35">
      <c r="A157">
        <f t="shared" si="8"/>
        <v>156</v>
      </c>
      <c r="B157">
        <f>HunterDPS!K157</f>
        <v>106.8044678248598</v>
      </c>
      <c r="C157">
        <f>KaijuSim!K157</f>
        <v>95.244305100817371</v>
      </c>
      <c r="D157" t="str">
        <f t="shared" si="6"/>
        <v>Kaiju</v>
      </c>
      <c r="E157">
        <f t="shared" si="7"/>
        <v>95.244305100817371</v>
      </c>
    </row>
    <row r="158" spans="1:5" x14ac:dyDescent="0.35">
      <c r="A158">
        <f t="shared" si="8"/>
        <v>157</v>
      </c>
      <c r="B158">
        <f>HunterDPS!K158</f>
        <v>95.528460729746811</v>
      </c>
      <c r="C158">
        <f>KaijuSim!K158</f>
        <v>92.678491119368786</v>
      </c>
      <c r="D158" t="str">
        <f t="shared" si="6"/>
        <v>Kaiju</v>
      </c>
      <c r="E158">
        <f t="shared" si="7"/>
        <v>92.678491119368786</v>
      </c>
    </row>
    <row r="159" spans="1:5" x14ac:dyDescent="0.35">
      <c r="A159">
        <f t="shared" si="8"/>
        <v>158</v>
      </c>
      <c r="B159">
        <f>HunterDPS!K159</f>
        <v>117.70063071520862</v>
      </c>
      <c r="C159">
        <f>KaijuSim!K159</f>
        <v>91.749501625833901</v>
      </c>
      <c r="D159" t="str">
        <f t="shared" si="6"/>
        <v>Kaiju</v>
      </c>
      <c r="E159">
        <f t="shared" si="7"/>
        <v>91.749501625833901</v>
      </c>
    </row>
    <row r="160" spans="1:5" x14ac:dyDescent="0.35">
      <c r="A160">
        <f t="shared" si="8"/>
        <v>159</v>
      </c>
      <c r="B160">
        <f>HunterDPS!K160</f>
        <v>112.05711757797442</v>
      </c>
      <c r="C160">
        <f>KaijuSim!K160</f>
        <v>93.434906397597217</v>
      </c>
      <c r="D160" t="str">
        <f t="shared" si="6"/>
        <v>Kaiju</v>
      </c>
      <c r="E160">
        <f t="shared" si="7"/>
        <v>93.434906397597217</v>
      </c>
    </row>
    <row r="161" spans="1:5" x14ac:dyDescent="0.35">
      <c r="A161">
        <f t="shared" si="8"/>
        <v>160</v>
      </c>
      <c r="B161">
        <f>HunterDPS!K161</f>
        <v>88.480669262438653</v>
      </c>
      <c r="C161">
        <f>KaijuSim!K161</f>
        <v>95.339004785515954</v>
      </c>
      <c r="D161" t="str">
        <f t="shared" si="6"/>
        <v>Hunters</v>
      </c>
      <c r="E161">
        <f t="shared" si="7"/>
        <v>88.480669262438653</v>
      </c>
    </row>
    <row r="162" spans="1:5" x14ac:dyDescent="0.35">
      <c r="A162">
        <f t="shared" si="8"/>
        <v>161</v>
      </c>
      <c r="B162">
        <f>HunterDPS!K162</f>
        <v>107.91136132172807</v>
      </c>
      <c r="C162">
        <f>KaijuSim!K162</f>
        <v>89.33244820021055</v>
      </c>
      <c r="D162" t="str">
        <f t="shared" si="6"/>
        <v>Kaiju</v>
      </c>
      <c r="E162">
        <f t="shared" si="7"/>
        <v>89.33244820021055</v>
      </c>
    </row>
    <row r="163" spans="1:5" x14ac:dyDescent="0.35">
      <c r="A163">
        <f t="shared" si="8"/>
        <v>162</v>
      </c>
      <c r="B163">
        <f>HunterDPS!K163</f>
        <v>98.896175794192288</v>
      </c>
      <c r="C163">
        <f>KaijuSim!K163</f>
        <v>90.230860242905678</v>
      </c>
      <c r="D163" t="str">
        <f t="shared" si="6"/>
        <v>Kaiju</v>
      </c>
      <c r="E163">
        <f t="shared" si="7"/>
        <v>90.230860242905678</v>
      </c>
    </row>
    <row r="164" spans="1:5" x14ac:dyDescent="0.35">
      <c r="A164">
        <f t="shared" si="8"/>
        <v>163</v>
      </c>
      <c r="B164">
        <f>HunterDPS!K164</f>
        <v>94.168112801142769</v>
      </c>
      <c r="C164">
        <f>KaijuSim!K164</f>
        <v>94.525761897972927</v>
      </c>
      <c r="D164" t="str">
        <f t="shared" si="6"/>
        <v>Hunters</v>
      </c>
      <c r="E164">
        <f t="shared" si="7"/>
        <v>94.168112801142769</v>
      </c>
    </row>
    <row r="165" spans="1:5" x14ac:dyDescent="0.35">
      <c r="A165">
        <f t="shared" si="8"/>
        <v>164</v>
      </c>
      <c r="B165">
        <f>HunterDPS!K165</f>
        <v>93.819872341800689</v>
      </c>
      <c r="C165">
        <f>KaijuSim!K165</f>
        <v>90.549246384614392</v>
      </c>
      <c r="D165" t="str">
        <f t="shared" si="6"/>
        <v>Kaiju</v>
      </c>
      <c r="E165">
        <f t="shared" si="7"/>
        <v>90.549246384614392</v>
      </c>
    </row>
    <row r="166" spans="1:5" x14ac:dyDescent="0.35">
      <c r="A166">
        <f t="shared" si="8"/>
        <v>165</v>
      </c>
      <c r="B166">
        <f>HunterDPS!K166</f>
        <v>90.511444925917246</v>
      </c>
      <c r="C166">
        <f>KaijuSim!K166</f>
        <v>94.692739788990053</v>
      </c>
      <c r="D166" t="str">
        <f t="shared" si="6"/>
        <v>Hunters</v>
      </c>
      <c r="E166">
        <f t="shared" si="7"/>
        <v>90.511444925917246</v>
      </c>
    </row>
    <row r="167" spans="1:5" x14ac:dyDescent="0.35">
      <c r="A167">
        <f t="shared" si="8"/>
        <v>166</v>
      </c>
      <c r="B167">
        <f>HunterDPS!K167</f>
        <v>114.46090769571656</v>
      </c>
      <c r="C167">
        <f>KaijuSim!K167</f>
        <v>94.233471045998328</v>
      </c>
      <c r="D167" t="str">
        <f t="shared" si="6"/>
        <v>Kaiju</v>
      </c>
      <c r="E167">
        <f t="shared" si="7"/>
        <v>94.233471045998328</v>
      </c>
    </row>
    <row r="168" spans="1:5" x14ac:dyDescent="0.35">
      <c r="A168">
        <f t="shared" si="8"/>
        <v>167</v>
      </c>
      <c r="B168">
        <f>HunterDPS!K168</f>
        <v>96.232482183944569</v>
      </c>
      <c r="C168">
        <f>KaijuSim!K168</f>
        <v>90.218903926680724</v>
      </c>
      <c r="D168" t="str">
        <f t="shared" si="6"/>
        <v>Kaiju</v>
      </c>
      <c r="E168">
        <f t="shared" si="7"/>
        <v>90.218903926680724</v>
      </c>
    </row>
    <row r="169" spans="1:5" x14ac:dyDescent="0.35">
      <c r="A169">
        <f t="shared" si="8"/>
        <v>168</v>
      </c>
      <c r="B169">
        <f>HunterDPS!K169</f>
        <v>115.93221833882066</v>
      </c>
      <c r="C169">
        <f>KaijuSim!K169</f>
        <v>89.35242183356803</v>
      </c>
      <c r="D169" t="str">
        <f t="shared" si="6"/>
        <v>Kaiju</v>
      </c>
      <c r="E169">
        <f t="shared" si="7"/>
        <v>89.35242183356803</v>
      </c>
    </row>
    <row r="170" spans="1:5" x14ac:dyDescent="0.35">
      <c r="A170">
        <f t="shared" si="8"/>
        <v>169</v>
      </c>
      <c r="B170">
        <f>HunterDPS!K170</f>
        <v>85.342318349479186</v>
      </c>
      <c r="C170">
        <f>KaijuSim!K170</f>
        <v>96.114495112341814</v>
      </c>
      <c r="D170" t="str">
        <f t="shared" si="6"/>
        <v>Hunters</v>
      </c>
      <c r="E170">
        <f t="shared" si="7"/>
        <v>85.342318349479186</v>
      </c>
    </row>
    <row r="171" spans="1:5" x14ac:dyDescent="0.35">
      <c r="A171">
        <f t="shared" si="8"/>
        <v>170</v>
      </c>
      <c r="B171">
        <f>HunterDPS!K171</f>
        <v>107.18218346773891</v>
      </c>
      <c r="C171">
        <f>KaijuSim!K171</f>
        <v>98.254838245046798</v>
      </c>
      <c r="D171" t="str">
        <f t="shared" si="6"/>
        <v>Kaiju</v>
      </c>
      <c r="E171">
        <f t="shared" si="7"/>
        <v>98.254838245046798</v>
      </c>
    </row>
    <row r="172" spans="1:5" x14ac:dyDescent="0.35">
      <c r="A172">
        <f t="shared" si="8"/>
        <v>171</v>
      </c>
      <c r="B172">
        <f>HunterDPS!K172</f>
        <v>94.080429222364373</v>
      </c>
      <c r="C172">
        <f>KaijuSim!K172</f>
        <v>88.943388087592439</v>
      </c>
      <c r="D172" t="str">
        <f t="shared" si="6"/>
        <v>Kaiju</v>
      </c>
      <c r="E172">
        <f t="shared" si="7"/>
        <v>88.943388087592439</v>
      </c>
    </row>
    <row r="173" spans="1:5" x14ac:dyDescent="0.35">
      <c r="A173">
        <f t="shared" si="8"/>
        <v>172</v>
      </c>
      <c r="B173">
        <f>HunterDPS!K173</f>
        <v>91.674120811088827</v>
      </c>
      <c r="C173">
        <f>KaijuSim!K173</f>
        <v>89.971817040390249</v>
      </c>
      <c r="D173" t="str">
        <f t="shared" si="6"/>
        <v>Kaiju</v>
      </c>
      <c r="E173">
        <f t="shared" si="7"/>
        <v>89.971817040390249</v>
      </c>
    </row>
    <row r="174" spans="1:5" x14ac:dyDescent="0.35">
      <c r="A174">
        <f t="shared" si="8"/>
        <v>173</v>
      </c>
      <c r="B174">
        <f>HunterDPS!K174</f>
        <v>101.51663216383528</v>
      </c>
      <c r="C174">
        <f>KaijuSim!K174</f>
        <v>94.066909626712004</v>
      </c>
      <c r="D174" t="str">
        <f t="shared" si="6"/>
        <v>Kaiju</v>
      </c>
      <c r="E174">
        <f t="shared" si="7"/>
        <v>94.066909626712004</v>
      </c>
    </row>
    <row r="175" spans="1:5" x14ac:dyDescent="0.35">
      <c r="A175">
        <f t="shared" si="8"/>
        <v>174</v>
      </c>
      <c r="B175">
        <f>HunterDPS!K175</f>
        <v>102.02846897697118</v>
      </c>
      <c r="C175">
        <f>KaijuSim!K175</f>
        <v>97.144374202198492</v>
      </c>
      <c r="D175" t="str">
        <f t="shared" si="6"/>
        <v>Kaiju</v>
      </c>
      <c r="E175">
        <f t="shared" si="7"/>
        <v>97.144374202198492</v>
      </c>
    </row>
    <row r="176" spans="1:5" x14ac:dyDescent="0.35">
      <c r="A176">
        <f t="shared" si="8"/>
        <v>175</v>
      </c>
      <c r="B176">
        <f>HunterDPS!K176</f>
        <v>86.01345659505894</v>
      </c>
      <c r="C176">
        <f>KaijuSim!K176</f>
        <v>92.541828935168439</v>
      </c>
      <c r="D176" t="str">
        <f t="shared" si="6"/>
        <v>Hunters</v>
      </c>
      <c r="E176">
        <f t="shared" si="7"/>
        <v>86.01345659505894</v>
      </c>
    </row>
    <row r="177" spans="1:5" x14ac:dyDescent="0.35">
      <c r="A177">
        <f t="shared" si="8"/>
        <v>176</v>
      </c>
      <c r="B177">
        <f>HunterDPS!K177</f>
        <v>115.5994452407039</v>
      </c>
      <c r="C177">
        <f>KaijuSim!K177</f>
        <v>93.164387643243856</v>
      </c>
      <c r="D177" t="str">
        <f t="shared" si="6"/>
        <v>Kaiju</v>
      </c>
      <c r="E177">
        <f t="shared" si="7"/>
        <v>93.164387643243856</v>
      </c>
    </row>
    <row r="178" spans="1:5" x14ac:dyDescent="0.35">
      <c r="A178">
        <f t="shared" si="8"/>
        <v>177</v>
      </c>
      <c r="B178">
        <f>HunterDPS!K178</f>
        <v>89.006515319939027</v>
      </c>
      <c r="C178">
        <f>KaijuSim!K178</f>
        <v>94.333374428347184</v>
      </c>
      <c r="D178" t="str">
        <f t="shared" si="6"/>
        <v>Hunters</v>
      </c>
      <c r="E178">
        <f t="shared" si="7"/>
        <v>89.006515319939027</v>
      </c>
    </row>
    <row r="179" spans="1:5" x14ac:dyDescent="0.35">
      <c r="A179">
        <f t="shared" si="8"/>
        <v>178</v>
      </c>
      <c r="B179">
        <f>HunterDPS!K179</f>
        <v>84.976560055164754</v>
      </c>
      <c r="C179">
        <f>KaijuSim!K179</f>
        <v>86.954611964014646</v>
      </c>
      <c r="D179" t="str">
        <f t="shared" si="6"/>
        <v>Hunters</v>
      </c>
      <c r="E179">
        <f t="shared" si="7"/>
        <v>84.976560055164754</v>
      </c>
    </row>
    <row r="180" spans="1:5" x14ac:dyDescent="0.35">
      <c r="A180">
        <f t="shared" si="8"/>
        <v>179</v>
      </c>
      <c r="B180">
        <f>HunterDPS!K180</f>
        <v>112.75514300689701</v>
      </c>
      <c r="C180">
        <f>KaijuSim!K180</f>
        <v>91.578488210903075</v>
      </c>
      <c r="D180" t="str">
        <f t="shared" si="6"/>
        <v>Kaiju</v>
      </c>
      <c r="E180">
        <f t="shared" si="7"/>
        <v>91.578488210903075</v>
      </c>
    </row>
    <row r="181" spans="1:5" x14ac:dyDescent="0.35">
      <c r="A181">
        <f t="shared" si="8"/>
        <v>180</v>
      </c>
      <c r="B181">
        <f>HunterDPS!K181</f>
        <v>117.73844985491809</v>
      </c>
      <c r="C181">
        <f>KaijuSim!K181</f>
        <v>93.967443205768362</v>
      </c>
      <c r="D181" t="str">
        <f t="shared" si="6"/>
        <v>Kaiju</v>
      </c>
      <c r="E181">
        <f t="shared" si="7"/>
        <v>93.967443205768362</v>
      </c>
    </row>
    <row r="182" spans="1:5" x14ac:dyDescent="0.35">
      <c r="A182">
        <f t="shared" si="8"/>
        <v>181</v>
      </c>
      <c r="B182">
        <f>HunterDPS!K182</f>
        <v>88.779972175522516</v>
      </c>
      <c r="C182">
        <f>KaijuSim!K182</f>
        <v>90.366390341934377</v>
      </c>
      <c r="D182" t="str">
        <f t="shared" si="6"/>
        <v>Hunters</v>
      </c>
      <c r="E182">
        <f t="shared" si="7"/>
        <v>88.779972175522516</v>
      </c>
    </row>
    <row r="183" spans="1:5" x14ac:dyDescent="0.35">
      <c r="A183">
        <f t="shared" si="8"/>
        <v>182</v>
      </c>
      <c r="B183">
        <f>HunterDPS!K183</f>
        <v>81.34540272637642</v>
      </c>
      <c r="C183">
        <f>KaijuSim!K183</f>
        <v>88.865083860561583</v>
      </c>
      <c r="D183" t="str">
        <f t="shared" si="6"/>
        <v>Hunters</v>
      </c>
      <c r="E183">
        <f t="shared" si="7"/>
        <v>81.34540272637642</v>
      </c>
    </row>
    <row r="184" spans="1:5" x14ac:dyDescent="0.35">
      <c r="A184">
        <f t="shared" si="8"/>
        <v>183</v>
      </c>
      <c r="B184">
        <f>HunterDPS!K184</f>
        <v>97.372952067997659</v>
      </c>
      <c r="C184">
        <f>KaijuSim!K184</f>
        <v>90.268187363788783</v>
      </c>
      <c r="D184" t="str">
        <f t="shared" si="6"/>
        <v>Kaiju</v>
      </c>
      <c r="E184">
        <f t="shared" si="7"/>
        <v>90.268187363788783</v>
      </c>
    </row>
    <row r="185" spans="1:5" x14ac:dyDescent="0.35">
      <c r="A185">
        <f t="shared" si="8"/>
        <v>184</v>
      </c>
      <c r="B185">
        <f>HunterDPS!K185</f>
        <v>101.9458103976953</v>
      </c>
      <c r="C185">
        <f>KaijuSim!K185</f>
        <v>90.822012756774896</v>
      </c>
      <c r="D185" t="str">
        <f t="shared" si="6"/>
        <v>Kaiju</v>
      </c>
      <c r="E185">
        <f t="shared" si="7"/>
        <v>90.822012756774896</v>
      </c>
    </row>
    <row r="186" spans="1:5" x14ac:dyDescent="0.35">
      <c r="A186">
        <f t="shared" si="8"/>
        <v>185</v>
      </c>
      <c r="B186">
        <f>HunterDPS!K186</f>
        <v>108.33395167596919</v>
      </c>
      <c r="C186">
        <f>KaijuSim!K186</f>
        <v>91.376140185329817</v>
      </c>
      <c r="D186" t="str">
        <f t="shared" si="6"/>
        <v>Kaiju</v>
      </c>
      <c r="E186">
        <f t="shared" si="7"/>
        <v>91.376140185329817</v>
      </c>
    </row>
    <row r="187" spans="1:5" x14ac:dyDescent="0.35">
      <c r="A187">
        <f t="shared" si="8"/>
        <v>186</v>
      </c>
      <c r="B187">
        <f>HunterDPS!K187</f>
        <v>86.329488775104664</v>
      </c>
      <c r="C187">
        <f>KaijuSim!K187</f>
        <v>89.456142437072813</v>
      </c>
      <c r="D187" t="str">
        <f t="shared" si="6"/>
        <v>Hunters</v>
      </c>
      <c r="E187">
        <f t="shared" si="7"/>
        <v>86.329488775104664</v>
      </c>
    </row>
    <row r="188" spans="1:5" x14ac:dyDescent="0.35">
      <c r="A188">
        <f t="shared" si="8"/>
        <v>187</v>
      </c>
      <c r="B188">
        <f>HunterDPS!K188</f>
        <v>112.99677164465315</v>
      </c>
      <c r="C188">
        <f>KaijuSim!K188</f>
        <v>92.55449124212835</v>
      </c>
      <c r="D188" t="str">
        <f t="shared" si="6"/>
        <v>Kaiju</v>
      </c>
      <c r="E188">
        <f t="shared" si="7"/>
        <v>92.55449124212835</v>
      </c>
    </row>
    <row r="189" spans="1:5" x14ac:dyDescent="0.35">
      <c r="A189">
        <f t="shared" si="8"/>
        <v>188</v>
      </c>
      <c r="B189">
        <f>HunterDPS!K189</f>
        <v>75.900641330803353</v>
      </c>
      <c r="C189">
        <f>KaijuSim!K189</f>
        <v>93.605941666545917</v>
      </c>
      <c r="D189" t="str">
        <f t="shared" si="6"/>
        <v>Hunters</v>
      </c>
      <c r="E189">
        <f t="shared" si="7"/>
        <v>75.900641330803353</v>
      </c>
    </row>
    <row r="190" spans="1:5" x14ac:dyDescent="0.35">
      <c r="A190">
        <f t="shared" si="8"/>
        <v>189</v>
      </c>
      <c r="B190">
        <f>HunterDPS!K190</f>
        <v>110.92252506182761</v>
      </c>
      <c r="C190">
        <f>KaijuSim!K190</f>
        <v>94.254837598576117</v>
      </c>
      <c r="D190" t="str">
        <f t="shared" si="6"/>
        <v>Kaiju</v>
      </c>
      <c r="E190">
        <f t="shared" si="7"/>
        <v>94.254837598576117</v>
      </c>
    </row>
    <row r="191" spans="1:5" x14ac:dyDescent="0.35">
      <c r="A191">
        <f t="shared" si="8"/>
        <v>190</v>
      </c>
      <c r="B191">
        <f>HunterDPS!K191</f>
        <v>105.81416819577169</v>
      </c>
      <c r="C191">
        <f>KaijuSim!K191</f>
        <v>91.3780835408851</v>
      </c>
      <c r="D191" t="str">
        <f t="shared" si="6"/>
        <v>Kaiju</v>
      </c>
      <c r="E191">
        <f t="shared" si="7"/>
        <v>91.3780835408851</v>
      </c>
    </row>
    <row r="192" spans="1:5" x14ac:dyDescent="0.35">
      <c r="A192">
        <f t="shared" si="8"/>
        <v>191</v>
      </c>
      <c r="B192">
        <f>HunterDPS!K192</f>
        <v>101.71988476394834</v>
      </c>
      <c r="C192">
        <f>KaijuSim!K192</f>
        <v>91.876846654401234</v>
      </c>
      <c r="D192" t="str">
        <f t="shared" si="6"/>
        <v>Kaiju</v>
      </c>
      <c r="E192">
        <f t="shared" si="7"/>
        <v>91.876846654401234</v>
      </c>
    </row>
    <row r="193" spans="1:5" x14ac:dyDescent="0.35">
      <c r="A193">
        <f t="shared" si="8"/>
        <v>192</v>
      </c>
      <c r="B193">
        <f>HunterDPS!K193</f>
        <v>94.43329821764452</v>
      </c>
      <c r="C193">
        <f>KaijuSim!K193</f>
        <v>94.23860610600687</v>
      </c>
      <c r="D193" t="str">
        <f t="shared" si="6"/>
        <v>Kaiju</v>
      </c>
      <c r="E193">
        <f t="shared" si="7"/>
        <v>94.23860610600687</v>
      </c>
    </row>
    <row r="194" spans="1:5" x14ac:dyDescent="0.35">
      <c r="A194">
        <f t="shared" si="8"/>
        <v>193</v>
      </c>
      <c r="B194">
        <f>HunterDPS!K194</f>
        <v>85.720583230381564</v>
      </c>
      <c r="C194">
        <f>KaijuSim!K194</f>
        <v>92.483058044044114</v>
      </c>
      <c r="D194" t="str">
        <f t="shared" si="6"/>
        <v>Hunters</v>
      </c>
      <c r="E194">
        <f t="shared" si="7"/>
        <v>85.720583230381564</v>
      </c>
    </row>
    <row r="195" spans="1:5" x14ac:dyDescent="0.35">
      <c r="A195">
        <f t="shared" si="8"/>
        <v>194</v>
      </c>
      <c r="B195">
        <f>HunterDPS!K195</f>
        <v>94.362306657629347</v>
      </c>
      <c r="C195">
        <f>KaijuSim!K195</f>
        <v>90.993342797414016</v>
      </c>
      <c r="D195" t="str">
        <f t="shared" ref="D195:D201" si="9">IF(B195 &lt; C195, "Hunters", "Kaiju")</f>
        <v>Kaiju</v>
      </c>
      <c r="E195">
        <f t="shared" ref="E195:E201" si="10">MIN(B195, C195)</f>
        <v>90.993342797414016</v>
      </c>
    </row>
    <row r="196" spans="1:5" x14ac:dyDescent="0.35">
      <c r="A196">
        <f t="shared" ref="A196:A200" si="11">A195+1</f>
        <v>195</v>
      </c>
      <c r="B196">
        <f>HunterDPS!K196</f>
        <v>124.69424836521766</v>
      </c>
      <c r="C196">
        <f>KaijuSim!K196</f>
        <v>90.525346209428221</v>
      </c>
      <c r="D196" t="str">
        <f t="shared" si="9"/>
        <v>Kaiju</v>
      </c>
      <c r="E196">
        <f t="shared" si="10"/>
        <v>90.525346209428221</v>
      </c>
    </row>
    <row r="197" spans="1:5" x14ac:dyDescent="0.35">
      <c r="A197">
        <f t="shared" si="11"/>
        <v>196</v>
      </c>
      <c r="B197">
        <f>HunterDPS!K197</f>
        <v>92.030049600237049</v>
      </c>
      <c r="C197">
        <f>KaijuSim!K197</f>
        <v>97.668343257327635</v>
      </c>
      <c r="D197" t="str">
        <f t="shared" si="9"/>
        <v>Hunters</v>
      </c>
      <c r="E197">
        <f t="shared" si="10"/>
        <v>92.030049600237049</v>
      </c>
    </row>
    <row r="198" spans="1:5" x14ac:dyDescent="0.35">
      <c r="A198">
        <f t="shared" si="11"/>
        <v>197</v>
      </c>
      <c r="B198">
        <f>HunterDPS!K198</f>
        <v>91.642903732604537</v>
      </c>
      <c r="C198">
        <f>KaijuSim!K198</f>
        <v>88.200608193126669</v>
      </c>
      <c r="D198" t="str">
        <f t="shared" si="9"/>
        <v>Kaiju</v>
      </c>
      <c r="E198">
        <f t="shared" si="10"/>
        <v>88.200608193126669</v>
      </c>
    </row>
    <row r="199" spans="1:5" x14ac:dyDescent="0.35">
      <c r="A199">
        <f t="shared" si="11"/>
        <v>198</v>
      </c>
      <c r="B199">
        <f>HunterDPS!K199</f>
        <v>105.19513884968018</v>
      </c>
      <c r="C199">
        <f>KaijuSim!K199</f>
        <v>87.567029025461991</v>
      </c>
      <c r="D199" t="str">
        <f t="shared" si="9"/>
        <v>Kaiju</v>
      </c>
      <c r="E199">
        <f t="shared" si="10"/>
        <v>87.567029025461991</v>
      </c>
    </row>
    <row r="200" spans="1:5" x14ac:dyDescent="0.35">
      <c r="A200">
        <f>A199+1</f>
        <v>199</v>
      </c>
      <c r="B200">
        <f>HunterDPS!K200</f>
        <v>74.75896769711953</v>
      </c>
      <c r="C200">
        <f>KaijuSim!K200</f>
        <v>87.815483823886652</v>
      </c>
      <c r="D200" t="str">
        <f t="shared" si="9"/>
        <v>Hunters</v>
      </c>
      <c r="E200">
        <f t="shared" si="10"/>
        <v>74.75896769711953</v>
      </c>
    </row>
    <row r="201" spans="1:5" x14ac:dyDescent="0.35">
      <c r="A201">
        <f>A200+1</f>
        <v>200</v>
      </c>
      <c r="B201">
        <f>HunterDPS!K201</f>
        <v>84.899823527131332</v>
      </c>
      <c r="C201">
        <f>KaijuSim!K201</f>
        <v>87.490234529830033</v>
      </c>
      <c r="D201" t="str">
        <f t="shared" si="9"/>
        <v>Hunters</v>
      </c>
      <c r="E201">
        <f t="shared" si="10"/>
        <v>84.899823527131332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HunterDPS</vt:lpstr>
      <vt:lpstr>KaijuSim</vt:lpstr>
      <vt:lpstr>MatchResults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Cabrera, Michael Anthony</dc:creator>
  <cp:lastModifiedBy>Cabrera, Michael Anthony</cp:lastModifiedBy>
  <dcterms:created xsi:type="dcterms:W3CDTF">2026-03-26T19:38:20Z</dcterms:created>
  <dcterms:modified xsi:type="dcterms:W3CDTF">2026-04-02T23:06:59Z</dcterms:modified>
</cp:coreProperties>
</file>
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OneDrive\Documents\_ClassDocs\_ClassDocs_Spring2026\Kaiju Clash\"/>
    </mc:Choice>
  </mc:AlternateContent>
  <xr:revisionPtr revIDLastSave="0" documentId="13_ncr:1_{ADE37563-2ED5-4EBE-97DE-3CE16C291233}" xr6:coauthVersionLast="47" xr6:coauthVersionMax="47" xr10:uidLastSave="{00000000-0000-0000-0000-000000000000}"/>
  <bookViews>
    <workbookView xWindow="-110" yWindow="-110" windowWidth="25820" windowHeight="16220" activeTab="2" xr2:uid="{280F9E53-3EC3-488B-8F2B-E95A85DA6E5C}"/>
  </bookViews>
  <sheets>
    <sheet name="HunterDPS" sheetId="1" r:id="rId1"/>
    <sheet name="KaijuSim" sheetId="2" r:id="rId2"/>
    <sheet name="MatchResul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E14" i="3" s="1"/>
  <c r="C15" i="3"/>
  <c r="C16" i="3"/>
  <c r="C17" i="3"/>
  <c r="D17" i="3" s="1"/>
  <c r="C18" i="3"/>
  <c r="D18" i="3" s="1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E34" i="3" s="1"/>
  <c r="C35" i="3"/>
  <c r="C36" i="3"/>
  <c r="C37" i="3"/>
  <c r="C38" i="3"/>
  <c r="E38" i="3" s="1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E54" i="3" s="1"/>
  <c r="C55" i="3"/>
  <c r="C56" i="3"/>
  <c r="C57" i="3"/>
  <c r="D57" i="3" s="1"/>
  <c r="C58" i="3"/>
  <c r="D58" i="3" s="1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E74" i="3" s="1"/>
  <c r="C75" i="3"/>
  <c r="C76" i="3"/>
  <c r="C77" i="3"/>
  <c r="E77" i="3" s="1"/>
  <c r="C78" i="3"/>
  <c r="E78" i="3" s="1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E94" i="3" s="1"/>
  <c r="C95" i="3"/>
  <c r="C96" i="3"/>
  <c r="C97" i="3"/>
  <c r="D97" i="3" s="1"/>
  <c r="C98" i="3"/>
  <c r="D98" i="3" s="1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E114" i="3" s="1"/>
  <c r="C115" i="3"/>
  <c r="C116" i="3"/>
  <c r="C117" i="3"/>
  <c r="D117" i="3" s="1"/>
  <c r="C118" i="3"/>
  <c r="D118" i="3" s="1"/>
  <c r="C119" i="3"/>
  <c r="C120" i="3"/>
  <c r="E120" i="3" s="1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E134" i="3" s="1"/>
  <c r="C135" i="3"/>
  <c r="C136" i="3"/>
  <c r="C137" i="3"/>
  <c r="E137" i="3" s="1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E154" i="3" s="1"/>
  <c r="C155" i="3"/>
  <c r="C156" i="3"/>
  <c r="C157" i="3"/>
  <c r="D157" i="3" s="1"/>
  <c r="C158" i="3"/>
  <c r="D158" i="3" s="1"/>
  <c r="C159" i="3"/>
  <c r="C160" i="3"/>
  <c r="E160" i="3" s="1"/>
  <c r="C161" i="3"/>
  <c r="E161" i="3" s="1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E174" i="3" s="1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E194" i="3" s="1"/>
  <c r="C195" i="3"/>
  <c r="C196" i="3"/>
  <c r="E196" i="3" s="1"/>
  <c r="C197" i="3"/>
  <c r="C198" i="3"/>
  <c r="E198" i="3" s="1"/>
  <c r="C199" i="3"/>
  <c r="C200" i="3"/>
  <c r="C201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C2" i="3"/>
  <c r="B2" i="3"/>
  <c r="A200" i="3"/>
  <c r="A201" i="3"/>
  <c r="A4" i="3"/>
  <c r="A5" i="3"/>
  <c r="A6" i="3"/>
  <c r="A7" i="3"/>
  <c r="A8" i="3" s="1"/>
  <c r="A9" i="3" s="1"/>
  <c r="A10" i="3" s="1"/>
  <c r="A11" i="3" s="1"/>
  <c r="A12" i="3" s="1"/>
  <c r="A13" i="3" s="1"/>
  <c r="A14" i="3" s="1"/>
  <c r="A15" i="3" s="1"/>
  <c r="A16" i="3" s="1"/>
  <c r="A17" i="3"/>
  <c r="A18" i="3"/>
  <c r="A19" i="3"/>
  <c r="A20" i="3"/>
  <c r="A21" i="3"/>
  <c r="A22" i="3"/>
  <c r="A23" i="3"/>
  <c r="A24" i="3" s="1"/>
  <c r="A25" i="3" s="1"/>
  <c r="A26" i="3" s="1"/>
  <c r="A27" i="3"/>
  <c r="A28" i="3" s="1"/>
  <c r="A29" i="3" s="1"/>
  <c r="A30" i="3" s="1"/>
  <c r="A31" i="3" s="1"/>
  <c r="A32" i="3" s="1"/>
  <c r="A33" i="3" s="1"/>
  <c r="A34" i="3" s="1"/>
  <c r="A35" i="3" s="1"/>
  <c r="A36" i="3" s="1"/>
  <c r="A37" i="3"/>
  <c r="A38" i="3"/>
  <c r="A39" i="3"/>
  <c r="A40" i="3"/>
  <c r="A41" i="3"/>
  <c r="A42" i="3"/>
  <c r="A43" i="3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3" i="3"/>
  <c r="A2" i="3"/>
  <c r="O3" i="1"/>
  <c r="N3" i="1"/>
  <c r="M3" i="1"/>
  <c r="E2" i="1"/>
  <c r="D166" i="3" l="1"/>
  <c r="D146" i="3"/>
  <c r="D106" i="3"/>
  <c r="D66" i="3"/>
  <c r="D46" i="3"/>
  <c r="E173" i="3"/>
  <c r="E133" i="3"/>
  <c r="E113" i="3"/>
  <c r="E73" i="3"/>
  <c r="E33" i="3"/>
  <c r="E13" i="3"/>
  <c r="D6" i="3"/>
  <c r="D165" i="3"/>
  <c r="D145" i="3"/>
  <c r="D105" i="3"/>
  <c r="D65" i="3"/>
  <c r="D45" i="3"/>
  <c r="D5" i="3"/>
  <c r="K2" i="3"/>
  <c r="J2" i="3"/>
  <c r="D189" i="3"/>
  <c r="D169" i="3"/>
  <c r="D149" i="3"/>
  <c r="D129" i="3"/>
  <c r="D109" i="3"/>
  <c r="D89" i="3"/>
  <c r="D69" i="3"/>
  <c r="D49" i="3"/>
  <c r="D29" i="3"/>
  <c r="D9" i="3"/>
  <c r="E182" i="3"/>
  <c r="D162" i="3"/>
  <c r="E142" i="3"/>
  <c r="E122" i="3"/>
  <c r="D102" i="3"/>
  <c r="E82" i="3"/>
  <c r="E22" i="3"/>
  <c r="D190" i="3"/>
  <c r="D170" i="3"/>
  <c r="D150" i="3"/>
  <c r="D130" i="3"/>
  <c r="D110" i="3"/>
  <c r="D90" i="3"/>
  <c r="D70" i="3"/>
  <c r="D50" i="3"/>
  <c r="D30" i="3"/>
  <c r="D10" i="3"/>
  <c r="E197" i="3"/>
  <c r="E195" i="3"/>
  <c r="D182" i="3"/>
  <c r="D142" i="3"/>
  <c r="D122" i="3"/>
  <c r="D82" i="3"/>
  <c r="D62" i="3"/>
  <c r="D42" i="3"/>
  <c r="D22" i="3"/>
  <c r="D156" i="3"/>
  <c r="E136" i="3"/>
  <c r="D116" i="3"/>
  <c r="D96" i="3"/>
  <c r="E76" i="3"/>
  <c r="D56" i="3"/>
  <c r="D16" i="3"/>
  <c r="E102" i="3"/>
  <c r="E162" i="3"/>
  <c r="D195" i="3"/>
  <c r="D155" i="3"/>
  <c r="E135" i="3"/>
  <c r="D115" i="3"/>
  <c r="D95" i="3"/>
  <c r="E75" i="3"/>
  <c r="D55" i="3"/>
  <c r="D15" i="3"/>
  <c r="E81" i="3"/>
  <c r="E80" i="3"/>
  <c r="E199" i="3"/>
  <c r="E159" i="3"/>
  <c r="E139" i="3"/>
  <c r="E119" i="3"/>
  <c r="E99" i="3"/>
  <c r="E79" i="3"/>
  <c r="E59" i="3"/>
  <c r="E19" i="3"/>
  <c r="D198" i="3"/>
  <c r="E178" i="3"/>
  <c r="E158" i="3"/>
  <c r="E138" i="3"/>
  <c r="E118" i="3"/>
  <c r="E98" i="3"/>
  <c r="E58" i="3"/>
  <c r="E18" i="3"/>
  <c r="D197" i="3"/>
  <c r="E177" i="3"/>
  <c r="E157" i="3"/>
  <c r="E117" i="3"/>
  <c r="E97" i="3"/>
  <c r="E57" i="3"/>
  <c r="E37" i="3"/>
  <c r="E17" i="3"/>
  <c r="D196" i="3"/>
  <c r="E176" i="3"/>
  <c r="E156" i="3"/>
  <c r="E116" i="3"/>
  <c r="E96" i="3"/>
  <c r="E56" i="3"/>
  <c r="E36" i="3"/>
  <c r="E16" i="3"/>
  <c r="E175" i="3"/>
  <c r="E155" i="3"/>
  <c r="E115" i="3"/>
  <c r="E95" i="3"/>
  <c r="E55" i="3"/>
  <c r="E35" i="3"/>
  <c r="E15" i="3"/>
  <c r="E189" i="3"/>
  <c r="E169" i="3"/>
  <c r="E149" i="3"/>
  <c r="E129" i="3"/>
  <c r="E109" i="3"/>
  <c r="E89" i="3"/>
  <c r="E69" i="3"/>
  <c r="E62" i="3"/>
  <c r="E42" i="3"/>
  <c r="E201" i="3"/>
  <c r="E181" i="3"/>
  <c r="E141" i="3"/>
  <c r="E121" i="3"/>
  <c r="E101" i="3"/>
  <c r="E61" i="3"/>
  <c r="E41" i="3"/>
  <c r="E21" i="3"/>
  <c r="E200" i="3"/>
  <c r="D120" i="3"/>
  <c r="E100" i="3"/>
  <c r="D80" i="3"/>
  <c r="E60" i="3"/>
  <c r="D40" i="3"/>
  <c r="D199" i="3"/>
  <c r="D179" i="3"/>
  <c r="D139" i="3"/>
  <c r="D119" i="3"/>
  <c r="D99" i="3"/>
  <c r="D79" i="3"/>
  <c r="D59" i="3"/>
  <c r="D39" i="3"/>
  <c r="D19" i="3"/>
  <c r="D180" i="3"/>
  <c r="E180" i="3"/>
  <c r="D140" i="3"/>
  <c r="E140" i="3"/>
  <c r="D20" i="3"/>
  <c r="E20" i="3"/>
  <c r="E40" i="3"/>
  <c r="D100" i="3"/>
  <c r="D60" i="3"/>
  <c r="E39" i="3"/>
  <c r="D159" i="3"/>
  <c r="D193" i="3"/>
  <c r="E193" i="3"/>
  <c r="D153" i="3"/>
  <c r="E153" i="3"/>
  <c r="D93" i="3"/>
  <c r="E93" i="3"/>
  <c r="D53" i="3"/>
  <c r="E53" i="3"/>
  <c r="E192" i="3"/>
  <c r="E172" i="3"/>
  <c r="E152" i="3"/>
  <c r="E132" i="3"/>
  <c r="E112" i="3"/>
  <c r="E92" i="3"/>
  <c r="E72" i="3"/>
  <c r="E52" i="3"/>
  <c r="E32" i="3"/>
  <c r="E12" i="3"/>
  <c r="E191" i="3"/>
  <c r="E171" i="3"/>
  <c r="E151" i="3"/>
  <c r="E131" i="3"/>
  <c r="E111" i="3"/>
  <c r="E91" i="3"/>
  <c r="E71" i="3"/>
  <c r="E51" i="3"/>
  <c r="E31" i="3"/>
  <c r="E11" i="3"/>
  <c r="E190" i="3"/>
  <c r="E170" i="3"/>
  <c r="E150" i="3"/>
  <c r="E130" i="3"/>
  <c r="E110" i="3"/>
  <c r="E90" i="3"/>
  <c r="E70" i="3"/>
  <c r="E50" i="3"/>
  <c r="E30" i="3"/>
  <c r="E10" i="3"/>
  <c r="E179" i="3"/>
  <c r="E49" i="3"/>
  <c r="E29" i="3"/>
  <c r="E9" i="3"/>
  <c r="E188" i="3"/>
  <c r="E168" i="3"/>
  <c r="E148" i="3"/>
  <c r="E128" i="3"/>
  <c r="E108" i="3"/>
  <c r="E88" i="3"/>
  <c r="E68" i="3"/>
  <c r="E48" i="3"/>
  <c r="E28" i="3"/>
  <c r="E8" i="3"/>
  <c r="E187" i="3"/>
  <c r="E167" i="3"/>
  <c r="E147" i="3"/>
  <c r="E127" i="3"/>
  <c r="E107" i="3"/>
  <c r="E87" i="3"/>
  <c r="E67" i="3"/>
  <c r="E47" i="3"/>
  <c r="E27" i="3"/>
  <c r="E7" i="3"/>
  <c r="E186" i="3"/>
  <c r="E166" i="3"/>
  <c r="E146" i="3"/>
  <c r="E126" i="3"/>
  <c r="E106" i="3"/>
  <c r="E86" i="3"/>
  <c r="E66" i="3"/>
  <c r="E46" i="3"/>
  <c r="E26" i="3"/>
  <c r="E6" i="3"/>
  <c r="E185" i="3"/>
  <c r="E165" i="3"/>
  <c r="E145" i="3"/>
  <c r="E125" i="3"/>
  <c r="E105" i="3"/>
  <c r="E85" i="3"/>
  <c r="E65" i="3"/>
  <c r="E45" i="3"/>
  <c r="E25" i="3"/>
  <c r="E5" i="3"/>
  <c r="E184" i="3"/>
  <c r="E164" i="3"/>
  <c r="E144" i="3"/>
  <c r="E124" i="3"/>
  <c r="E104" i="3"/>
  <c r="E84" i="3"/>
  <c r="E64" i="3"/>
  <c r="E44" i="3"/>
  <c r="E24" i="3"/>
  <c r="E4" i="3"/>
  <c r="D2" i="3"/>
  <c r="E183" i="3"/>
  <c r="E163" i="3"/>
  <c r="E143" i="3"/>
  <c r="E123" i="3"/>
  <c r="E103" i="3"/>
  <c r="E83" i="3"/>
  <c r="E63" i="3"/>
  <c r="E43" i="3"/>
  <c r="E23" i="3"/>
  <c r="E3" i="3"/>
  <c r="D176" i="3"/>
  <c r="D136" i="3"/>
  <c r="D76" i="3"/>
  <c r="D36" i="3"/>
  <c r="D126" i="3"/>
  <c r="D194" i="3"/>
  <c r="D154" i="3"/>
  <c r="D94" i="3"/>
  <c r="D54" i="3"/>
  <c r="D125" i="3"/>
  <c r="D127" i="3"/>
  <c r="D167" i="3"/>
  <c r="D147" i="3"/>
  <c r="D107" i="3"/>
  <c r="D67" i="3"/>
  <c r="D47" i="3"/>
  <c r="D7" i="3"/>
  <c r="D188" i="3"/>
  <c r="D128" i="3"/>
  <c r="D88" i="3"/>
  <c r="D28" i="3"/>
  <c r="D187" i="3"/>
  <c r="D87" i="3"/>
  <c r="D27" i="3"/>
  <c r="D186" i="3"/>
  <c r="D86" i="3"/>
  <c r="D26" i="3"/>
  <c r="D185" i="3"/>
  <c r="D85" i="3"/>
  <c r="D25" i="3"/>
  <c r="D184" i="3"/>
  <c r="D164" i="3"/>
  <c r="D144" i="3"/>
  <c r="D124" i="3"/>
  <c r="D104" i="3"/>
  <c r="D84" i="3"/>
  <c r="D64" i="3"/>
  <c r="D44" i="3"/>
  <c r="D24" i="3"/>
  <c r="D4" i="3"/>
  <c r="D201" i="3"/>
  <c r="D161" i="3"/>
  <c r="D101" i="3"/>
  <c r="D61" i="3"/>
  <c r="D200" i="3"/>
  <c r="D160" i="3"/>
  <c r="D178" i="3"/>
  <c r="D138" i="3"/>
  <c r="D78" i="3"/>
  <c r="D38" i="3"/>
  <c r="D177" i="3"/>
  <c r="D137" i="3"/>
  <c r="D77" i="3"/>
  <c r="D37" i="3"/>
  <c r="D175" i="3"/>
  <c r="D135" i="3"/>
  <c r="D75" i="3"/>
  <c r="D35" i="3"/>
  <c r="D174" i="3"/>
  <c r="D134" i="3"/>
  <c r="D114" i="3"/>
  <c r="D74" i="3"/>
  <c r="D34" i="3"/>
  <c r="D14" i="3"/>
  <c r="D173" i="3"/>
  <c r="D133" i="3"/>
  <c r="D113" i="3"/>
  <c r="D73" i="3"/>
  <c r="D33" i="3"/>
  <c r="D13" i="3"/>
  <c r="D192" i="3"/>
  <c r="D172" i="3"/>
  <c r="D152" i="3"/>
  <c r="D132" i="3"/>
  <c r="D112" i="3"/>
  <c r="D92" i="3"/>
  <c r="D72" i="3"/>
  <c r="D52" i="3"/>
  <c r="D32" i="3"/>
  <c r="D12" i="3"/>
  <c r="D168" i="3"/>
  <c r="D148" i="3"/>
  <c r="D108" i="3"/>
  <c r="D68" i="3"/>
  <c r="D48" i="3"/>
  <c r="D8" i="3"/>
  <c r="D181" i="3"/>
  <c r="D141" i="3"/>
  <c r="D121" i="3"/>
  <c r="D81" i="3"/>
  <c r="D41" i="3"/>
  <c r="D21" i="3"/>
  <c r="E2" i="3"/>
  <c r="D183" i="3"/>
  <c r="D163" i="3"/>
  <c r="D143" i="3"/>
  <c r="D123" i="3"/>
  <c r="D103" i="3"/>
  <c r="D83" i="3"/>
  <c r="D63" i="3"/>
  <c r="D43" i="3"/>
  <c r="D23" i="3"/>
  <c r="D3" i="3"/>
  <c r="D191" i="3"/>
  <c r="D171" i="3"/>
  <c r="D151" i="3"/>
  <c r="D131" i="3"/>
  <c r="D111" i="3"/>
  <c r="D91" i="3"/>
  <c r="D71" i="3"/>
  <c r="D51" i="3"/>
  <c r="D31" i="3"/>
  <c r="D11" i="3"/>
  <c r="I2" i="3" l="1"/>
  <c r="G2" i="3"/>
  <c r="H2" i="3"/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3" i="1"/>
  <c r="J2" i="1"/>
  <c r="B8" i="1"/>
  <c r="B7" i="1"/>
  <c r="B6" i="1"/>
  <c r="B5" i="1"/>
  <c r="P3" i="2"/>
  <c r="O3" i="2"/>
  <c r="N3" i="2"/>
  <c r="M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3" i="2"/>
  <c r="J2" i="2"/>
  <c r="D100" i="2"/>
  <c r="A100" i="2"/>
  <c r="C100" i="2" s="1"/>
  <c r="D99" i="2"/>
  <c r="A99" i="2"/>
  <c r="B99" i="2" s="1"/>
  <c r="D98" i="2"/>
  <c r="A98" i="2"/>
  <c r="B98" i="2" s="1"/>
  <c r="D97" i="2"/>
  <c r="A97" i="2"/>
  <c r="B97" i="2" s="1"/>
  <c r="D96" i="2"/>
  <c r="A96" i="2"/>
  <c r="B96" i="2" s="1"/>
  <c r="D95" i="2"/>
  <c r="A95" i="2"/>
  <c r="D94" i="2"/>
  <c r="A94" i="2"/>
  <c r="C94" i="2" s="1"/>
  <c r="D93" i="2"/>
  <c r="A93" i="2"/>
  <c r="B93" i="2" s="1"/>
  <c r="D92" i="2"/>
  <c r="A92" i="2"/>
  <c r="C92" i="2" s="1"/>
  <c r="D91" i="2"/>
  <c r="A91" i="2"/>
  <c r="C91" i="2" s="1"/>
  <c r="D90" i="2"/>
  <c r="A90" i="2"/>
  <c r="C90" i="2" s="1"/>
  <c r="D89" i="2"/>
  <c r="A89" i="2"/>
  <c r="C89" i="2" s="1"/>
  <c r="D88" i="2"/>
  <c r="A88" i="2"/>
  <c r="B88" i="2" s="1"/>
  <c r="D87" i="2"/>
  <c r="A87" i="2"/>
  <c r="B87" i="2" s="1"/>
  <c r="D86" i="2"/>
  <c r="A86" i="2"/>
  <c r="B86" i="2" s="1"/>
  <c r="D85" i="2"/>
  <c r="A85" i="2"/>
  <c r="C85" i="2" s="1"/>
  <c r="D84" i="2"/>
  <c r="A84" i="2"/>
  <c r="B84" i="2" s="1"/>
  <c r="D83" i="2"/>
  <c r="A83" i="2"/>
  <c r="C83" i="2" s="1"/>
  <c r="D82" i="2"/>
  <c r="A82" i="2"/>
  <c r="B82" i="2" s="1"/>
  <c r="D81" i="2"/>
  <c r="A81" i="2"/>
  <c r="B81" i="2" s="1"/>
  <c r="D80" i="2"/>
  <c r="A80" i="2"/>
  <c r="B80" i="2" s="1"/>
  <c r="D79" i="2"/>
  <c r="A79" i="2"/>
  <c r="B79" i="2" s="1"/>
  <c r="D78" i="2"/>
  <c r="A78" i="2"/>
  <c r="C78" i="2" s="1"/>
  <c r="D77" i="2"/>
  <c r="A77" i="2"/>
  <c r="B77" i="2" s="1"/>
  <c r="D76" i="2"/>
  <c r="A76" i="2"/>
  <c r="C76" i="2" s="1"/>
  <c r="D75" i="2"/>
  <c r="A75" i="2"/>
  <c r="D74" i="2"/>
  <c r="A74" i="2"/>
  <c r="B74" i="2" s="1"/>
  <c r="D73" i="2"/>
  <c r="A73" i="2"/>
  <c r="B73" i="2" s="1"/>
  <c r="D72" i="2"/>
  <c r="A72" i="2"/>
  <c r="C72" i="2" s="1"/>
  <c r="D71" i="2"/>
  <c r="A71" i="2"/>
  <c r="D70" i="2"/>
  <c r="A70" i="2"/>
  <c r="B70" i="2" s="1"/>
  <c r="D69" i="2"/>
  <c r="A69" i="2"/>
  <c r="B69" i="2" s="1"/>
  <c r="D68" i="2"/>
  <c r="A68" i="2"/>
  <c r="B68" i="2" s="1"/>
  <c r="D67" i="2"/>
  <c r="A67" i="2"/>
  <c r="B67" i="2" s="1"/>
  <c r="D66" i="2"/>
  <c r="A66" i="2"/>
  <c r="B66" i="2" s="1"/>
  <c r="D65" i="2"/>
  <c r="A65" i="2"/>
  <c r="B65" i="2" s="1"/>
  <c r="D64" i="2"/>
  <c r="A64" i="2"/>
  <c r="B64" i="2" s="1"/>
  <c r="D63" i="2"/>
  <c r="A63" i="2"/>
  <c r="B63" i="2" s="1"/>
  <c r="D62" i="2"/>
  <c r="A62" i="2"/>
  <c r="B62" i="2" s="1"/>
  <c r="D61" i="2"/>
  <c r="A61" i="2"/>
  <c r="B61" i="2" s="1"/>
  <c r="D60" i="2"/>
  <c r="A60" i="2"/>
  <c r="B60" i="2" s="1"/>
  <c r="D59" i="2"/>
  <c r="A59" i="2"/>
  <c r="C59" i="2" s="1"/>
  <c r="D58" i="2"/>
  <c r="A58" i="2"/>
  <c r="C58" i="2" s="1"/>
  <c r="D57" i="2"/>
  <c r="A57" i="2"/>
  <c r="B57" i="2" s="1"/>
  <c r="D56" i="2"/>
  <c r="A56" i="2"/>
  <c r="B56" i="2" s="1"/>
  <c r="D55" i="2"/>
  <c r="A55" i="2"/>
  <c r="D54" i="2"/>
  <c r="A54" i="2"/>
  <c r="C54" i="2" s="1"/>
  <c r="D53" i="2"/>
  <c r="A53" i="2"/>
  <c r="B53" i="2" s="1"/>
  <c r="D52" i="2"/>
  <c r="A52" i="2"/>
  <c r="C52" i="2" s="1"/>
  <c r="D51" i="2"/>
  <c r="A51" i="2"/>
  <c r="C51" i="2" s="1"/>
  <c r="D50" i="2"/>
  <c r="A50" i="2"/>
  <c r="C50" i="2" s="1"/>
  <c r="D49" i="2"/>
  <c r="A49" i="2"/>
  <c r="B49" i="2" s="1"/>
  <c r="D48" i="2"/>
  <c r="A48" i="2"/>
  <c r="B48" i="2" s="1"/>
  <c r="D47" i="2"/>
  <c r="A47" i="2"/>
  <c r="C47" i="2" s="1"/>
  <c r="D46" i="2"/>
  <c r="A46" i="2"/>
  <c r="B46" i="2" s="1"/>
  <c r="D45" i="2"/>
  <c r="A45" i="2"/>
  <c r="B45" i="2" s="1"/>
  <c r="D44" i="2"/>
  <c r="A44" i="2"/>
  <c r="C44" i="2" s="1"/>
  <c r="D43" i="2"/>
  <c r="A43" i="2"/>
  <c r="B43" i="2" s="1"/>
  <c r="D42" i="2"/>
  <c r="A42" i="2"/>
  <c r="B42" i="2" s="1"/>
  <c r="D41" i="2"/>
  <c r="A41" i="2"/>
  <c r="B41" i="2" s="1"/>
  <c r="D40" i="2"/>
  <c r="A40" i="2"/>
  <c r="C40" i="2" s="1"/>
  <c r="D39" i="2"/>
  <c r="A39" i="2"/>
  <c r="B39" i="2" s="1"/>
  <c r="D38" i="2"/>
  <c r="A38" i="2"/>
  <c r="B38" i="2" s="1"/>
  <c r="D37" i="2"/>
  <c r="A37" i="2"/>
  <c r="B37" i="2" s="1"/>
  <c r="D36" i="2"/>
  <c r="A36" i="2"/>
  <c r="C36" i="2" s="1"/>
  <c r="D35" i="2"/>
  <c r="A35" i="2"/>
  <c r="D34" i="2"/>
  <c r="A34" i="2"/>
  <c r="B34" i="2" s="1"/>
  <c r="D33" i="2"/>
  <c r="A33" i="2"/>
  <c r="B33" i="2" s="1"/>
  <c r="D32" i="2"/>
  <c r="A32" i="2"/>
  <c r="C32" i="2" s="1"/>
  <c r="D31" i="2"/>
  <c r="A31" i="2"/>
  <c r="D30" i="2"/>
  <c r="A30" i="2"/>
  <c r="B30" i="2" s="1"/>
  <c r="D29" i="2"/>
  <c r="A29" i="2"/>
  <c r="C29" i="2" s="1"/>
  <c r="D28" i="2"/>
  <c r="A28" i="2"/>
  <c r="C28" i="2" s="1"/>
  <c r="D27" i="2"/>
  <c r="A27" i="2"/>
  <c r="B27" i="2" s="1"/>
  <c r="D26" i="2"/>
  <c r="A26" i="2"/>
  <c r="C26" i="2" s="1"/>
  <c r="D25" i="2"/>
  <c r="A25" i="2"/>
  <c r="B25" i="2" s="1"/>
  <c r="D24" i="2"/>
  <c r="A24" i="2"/>
  <c r="B24" i="2" s="1"/>
  <c r="D23" i="2"/>
  <c r="A23" i="2"/>
  <c r="C23" i="2" s="1"/>
  <c r="D22" i="2"/>
  <c r="A22" i="2"/>
  <c r="B22" i="2" s="1"/>
  <c r="D21" i="2"/>
  <c r="A21" i="2"/>
  <c r="B21" i="2" s="1"/>
  <c r="D20" i="2"/>
  <c r="A20" i="2"/>
  <c r="C20" i="2" s="1"/>
  <c r="D19" i="2"/>
  <c r="A19" i="2"/>
  <c r="C19" i="2" s="1"/>
  <c r="D18" i="2"/>
  <c r="A18" i="2"/>
  <c r="B18" i="2" s="1"/>
  <c r="D17" i="2"/>
  <c r="A17" i="2"/>
  <c r="B17" i="2" s="1"/>
  <c r="D16" i="2"/>
  <c r="A16" i="2"/>
  <c r="D15" i="2"/>
  <c r="A15" i="2"/>
  <c r="C15" i="2" s="1"/>
  <c r="D14" i="2"/>
  <c r="A14" i="2"/>
  <c r="B14" i="2" s="1"/>
  <c r="D13" i="2"/>
  <c r="A13" i="2"/>
  <c r="B13" i="2" s="1"/>
  <c r="D12" i="2"/>
  <c r="A12" i="2"/>
  <c r="B12" i="2" s="1"/>
  <c r="D11" i="2"/>
  <c r="A11" i="2"/>
  <c r="B11" i="2" s="1"/>
  <c r="D10" i="2"/>
  <c r="A10" i="2"/>
  <c r="C10" i="2" s="1"/>
  <c r="H2" i="2"/>
  <c r="H60" i="1"/>
  <c r="H61" i="1"/>
  <c r="H62" i="1"/>
  <c r="H63" i="1"/>
  <c r="H64" i="1"/>
  <c r="H65" i="1"/>
  <c r="H66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8" i="1"/>
  <c r="H3" i="1"/>
  <c r="H4" i="1"/>
  <c r="H5" i="1"/>
  <c r="H6" i="1"/>
  <c r="H7" i="1"/>
  <c r="H2" i="1"/>
  <c r="E53" i="2" l="1"/>
  <c r="E43" i="2"/>
  <c r="E11" i="2"/>
  <c r="E21" i="2"/>
  <c r="E61" i="2"/>
  <c r="E81" i="2"/>
  <c r="C80" i="2"/>
  <c r="E12" i="2"/>
  <c r="E24" i="2"/>
  <c r="E64" i="2"/>
  <c r="E18" i="2"/>
  <c r="E48" i="2"/>
  <c r="E88" i="2"/>
  <c r="E80" i="2"/>
  <c r="C65" i="2"/>
  <c r="C56" i="2"/>
  <c r="B26" i="2"/>
  <c r="E26" i="2" s="1"/>
  <c r="C67" i="2"/>
  <c r="C25" i="2"/>
  <c r="C17" i="2"/>
  <c r="C97" i="2"/>
  <c r="E70" i="2"/>
  <c r="E97" i="2"/>
  <c r="C87" i="2"/>
  <c r="C86" i="2"/>
  <c r="B15" i="2"/>
  <c r="E15" i="2" s="1"/>
  <c r="C13" i="2"/>
  <c r="B47" i="2"/>
  <c r="E47" i="2" s="1"/>
  <c r="B44" i="2"/>
  <c r="E44" i="2" s="1"/>
  <c r="B54" i="2"/>
  <c r="E54" i="2" s="1"/>
  <c r="B85" i="2"/>
  <c r="E85" i="2" s="1"/>
  <c r="B36" i="2"/>
  <c r="E36" i="2" s="1"/>
  <c r="C30" i="2"/>
  <c r="C82" i="2"/>
  <c r="B29" i="2"/>
  <c r="E29" i="2" s="1"/>
  <c r="B90" i="2"/>
  <c r="E90" i="2" s="1"/>
  <c r="C81" i="2"/>
  <c r="C12" i="2"/>
  <c r="B51" i="2"/>
  <c r="E51" i="2" s="1"/>
  <c r="B91" i="2"/>
  <c r="E91" i="2" s="1"/>
  <c r="C66" i="2"/>
  <c r="C45" i="2"/>
  <c r="B20" i="2"/>
  <c r="E20" i="2" s="1"/>
  <c r="B52" i="2"/>
  <c r="E52" i="2" s="1"/>
  <c r="C24" i="2"/>
  <c r="E67" i="2"/>
  <c r="C63" i="2"/>
  <c r="C14" i="2"/>
  <c r="C62" i="2"/>
  <c r="B28" i="2"/>
  <c r="E28" i="2" s="1"/>
  <c r="C79" i="2"/>
  <c r="B78" i="2"/>
  <c r="E78" i="2" s="1"/>
  <c r="C38" i="2"/>
  <c r="C98" i="2"/>
  <c r="B50" i="2"/>
  <c r="E50" i="2" s="1"/>
  <c r="C73" i="2"/>
  <c r="B89" i="2"/>
  <c r="E89" i="2" s="1"/>
  <c r="C39" i="2"/>
  <c r="E77" i="2"/>
  <c r="C61" i="2"/>
  <c r="C33" i="2"/>
  <c r="C21" i="2"/>
  <c r="B83" i="2"/>
  <c r="E83" i="2" s="1"/>
  <c r="B58" i="2"/>
  <c r="E58" i="2" s="1"/>
  <c r="C46" i="2"/>
  <c r="C88" i="2"/>
  <c r="E87" i="2"/>
  <c r="C49" i="2"/>
  <c r="B23" i="2"/>
  <c r="E23" i="2" s="1"/>
  <c r="B59" i="2"/>
  <c r="E59" i="2" s="1"/>
  <c r="C34" i="2"/>
  <c r="E84" i="2"/>
  <c r="E38" i="2"/>
  <c r="E68" i="2"/>
  <c r="E22" i="2"/>
  <c r="E14" i="2"/>
  <c r="E79" i="2"/>
  <c r="E45" i="2"/>
  <c r="E30" i="2"/>
  <c r="E65" i="2"/>
  <c r="E60" i="2"/>
  <c r="E57" i="2"/>
  <c r="E37" i="2"/>
  <c r="E17" i="2"/>
  <c r="B94" i="2"/>
  <c r="E94" i="2" s="1"/>
  <c r="B19" i="2"/>
  <c r="E19" i="2" s="1"/>
  <c r="E33" i="2"/>
  <c r="E49" i="2"/>
  <c r="E41" i="2"/>
  <c r="E27" i="2"/>
  <c r="C53" i="2"/>
  <c r="C48" i="2"/>
  <c r="E63" i="2"/>
  <c r="E73" i="2"/>
  <c r="B100" i="2"/>
  <c r="E100" i="2" s="1"/>
  <c r="E93" i="2"/>
  <c r="C77" i="2"/>
  <c r="C69" i="2"/>
  <c r="C64" i="2"/>
  <c r="C42" i="2"/>
  <c r="E98" i="2"/>
  <c r="E82" i="2"/>
  <c r="E39" i="2"/>
  <c r="C70" i="2"/>
  <c r="C57" i="2"/>
  <c r="C43" i="2"/>
  <c r="B76" i="2"/>
  <c r="E76" i="2" s="1"/>
  <c r="E25" i="2"/>
  <c r="E69" i="2"/>
  <c r="E56" i="2"/>
  <c r="C93" i="2"/>
  <c r="C74" i="2"/>
  <c r="C60" i="2"/>
  <c r="C27" i="2"/>
  <c r="C18" i="2"/>
  <c r="E96" i="2"/>
  <c r="E62" i="2"/>
  <c r="E42" i="2"/>
  <c r="C84" i="2"/>
  <c r="B40" i="2"/>
  <c r="E40" i="2" s="1"/>
  <c r="E99" i="2"/>
  <c r="C37" i="2"/>
  <c r="C22" i="2"/>
  <c r="C68" i="2"/>
  <c r="C41" i="2"/>
  <c r="B92" i="2"/>
  <c r="E92" i="2" s="1"/>
  <c r="B71" i="2"/>
  <c r="E71" i="2" s="1"/>
  <c r="C71" i="2"/>
  <c r="E34" i="2"/>
  <c r="E74" i="2"/>
  <c r="B31" i="2"/>
  <c r="E31" i="2" s="1"/>
  <c r="C31" i="2"/>
  <c r="B16" i="2"/>
  <c r="E16" i="2" s="1"/>
  <c r="C16" i="2"/>
  <c r="E86" i="2"/>
  <c r="E66" i="2"/>
  <c r="E46" i="2"/>
  <c r="C99" i="2"/>
  <c r="C96" i="2"/>
  <c r="B72" i="2"/>
  <c r="E72" i="2" s="1"/>
  <c r="B32" i="2"/>
  <c r="E32" i="2" s="1"/>
  <c r="E13" i="2"/>
  <c r="B95" i="2"/>
  <c r="E95" i="2" s="1"/>
  <c r="C95" i="2"/>
  <c r="B75" i="2"/>
  <c r="E75" i="2" s="1"/>
  <c r="C75" i="2"/>
  <c r="B35" i="2"/>
  <c r="E35" i="2" s="1"/>
  <c r="C35" i="2"/>
  <c r="B55" i="2"/>
  <c r="E55" i="2" s="1"/>
  <c r="C55" i="2"/>
  <c r="C11" i="2"/>
  <c r="F10" i="2"/>
  <c r="B10" i="2"/>
  <c r="E10" i="2" s="1"/>
  <c r="G10" i="2" s="1"/>
  <c r="D5" i="1"/>
  <c r="D6" i="1"/>
  <c r="D7" i="1"/>
  <c r="D8" i="1"/>
  <c r="G11" i="2" l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F11" i="2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G2" i="2" l="1" a="1"/>
  <c r="G2" i="2" s="1"/>
  <c r="K1" i="2" s="1"/>
  <c r="C5" i="1"/>
  <c r="C7" i="1"/>
  <c r="C8" i="1"/>
  <c r="C6" i="1"/>
  <c r="E5" i="1" l="1"/>
  <c r="F5" i="1" s="1"/>
  <c r="K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<sst xmlns="http://schemas.openxmlformats.org/spreadsheetml/2006/main" count="53" uniqueCount="47">
  <si>
    <t>Hunter #</t>
  </si>
  <si>
    <t>Clip Size</t>
  </si>
  <si>
    <t>Attack Interval</t>
  </si>
  <si>
    <t>Reload Time</t>
  </si>
  <si>
    <t>Damage per Round</t>
  </si>
  <si>
    <t>Mechanical DPS</t>
  </si>
  <si>
    <t>Skill Factor</t>
  </si>
  <si>
    <t>Effective DPS</t>
  </si>
  <si>
    <t>Kaiju Health</t>
  </si>
  <si>
    <t>Time to Kill</t>
  </si>
  <si>
    <t>Seed</t>
  </si>
  <si>
    <t>Team Effective DPS</t>
  </si>
  <si>
    <t>Team Time To Kill</t>
  </si>
  <si>
    <t>Run #</t>
  </si>
  <si>
    <t>Result</t>
  </si>
  <si>
    <t>Kaiju DPS</t>
  </si>
  <si>
    <t>Base Efficiency</t>
  </si>
  <si>
    <t>Doom Target</t>
  </si>
  <si>
    <t>Efficiency Variance</t>
  </si>
  <si>
    <t>Kaiju Win Time</t>
  </si>
  <si>
    <t>Time To Win</t>
  </si>
  <si>
    <t>Type</t>
  </si>
  <si>
    <t>Spawn %</t>
  </si>
  <si>
    <t>Health</t>
  </si>
  <si>
    <t>Doom</t>
  </si>
  <si>
    <t>Small</t>
  </si>
  <si>
    <t>Medium</t>
  </si>
  <si>
    <t>Large</t>
  </si>
  <si>
    <t>Building Stuff</t>
  </si>
  <si>
    <t>Building Type</t>
  </si>
  <si>
    <t>Doom Gain</t>
  </si>
  <si>
    <t>Efficiency</t>
  </si>
  <si>
    <t>Time to Destroy</t>
  </si>
  <si>
    <t>Total Doom</t>
  </si>
  <si>
    <t>Total Time</t>
  </si>
  <si>
    <t>Average</t>
  </si>
  <si>
    <t>Fastest</t>
  </si>
  <si>
    <t>Slowest</t>
  </si>
  <si>
    <t>Constistency</t>
  </si>
  <si>
    <t>Fastet</t>
  </si>
  <si>
    <t>Hunter TTK</t>
  </si>
  <si>
    <t>Match Time</t>
  </si>
  <si>
    <t>Hunter Win%</t>
  </si>
  <si>
    <t>Kaiju Win%</t>
  </si>
  <si>
    <t>Average Match Time</t>
  </si>
  <si>
    <t>Average Hunter TTK</t>
  </si>
  <si>
    <t>Average Kaiju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</si>
</sst>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2E84A-1B08-4500-928C-CFA97A89271A}">
  <dimension ref="A1:O201"/>
  <sheetViews>
    <sheetView topLeftCell="B1" workbookViewId="0">
      <selection activeCell="G3" sqref="G3"/>
    </sheetView>
  </sheetViews>
  <sheetFormatPr defaultRowHeight="14.5" x14ac:dyDescent="0.35"/>
  <cols>
    <col min="3" max="3" width="12.453125" customWidth="1"/>
    <col min="4" max="4" width="16.36328125" customWidth="1"/>
    <col min="5" max="5" width="16.453125" customWidth="1"/>
    <col min="6" max="6" width="15.26953125" customWidth="1"/>
    <col min="7" max="7" width="10.453125" customWidth="1"/>
  </cols>
  <sheetData>
    <row r="1" spans="1:15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G1" t="s">
        <v>8</v>
      </c>
      <c r="H1" t="s">
        <v>10</v>
      </c>
      <c r="K1">
        <f ca="1">$F$5</f>
        <v>86.504690700363241</v>
      </c>
    </row>
    <row r="2" spans="1:15" x14ac:dyDescent="0.35">
      <c r="A2">
        <v>2</v>
      </c>
      <c r="B2">
        <v>0.8</v>
      </c>
      <c r="C2">
        <v>1.8</v>
      </c>
      <c r="D2">
        <v>100</v>
      </c>
      <c r="E2">
        <f>(C2*D2)/(A2-1)*B2+C2</f>
        <v>145.80000000000001</v>
      </c>
      <c r="G2">
        <v>40000</v>
      </c>
      <c r="H2">
        <f>ROW()-1</f>
        <v>1</v>
      </c>
      <c r="J2">
        <f>1</f>
        <v>1</v>
      </c>
      <c r="K2">
        <f t="dataTable" ref="K2:K201" dt2D="0" dtr="0" r1="H2" ca="1"/>
        <v>96.241044342672268</v>
      </c>
      <c r="M2" t="s">
        <v>35</v>
      </c>
      <c r="N2" t="s">
        <v>39</v>
      </c>
      <c r="O2" t="s">
        <v>37</v>
      </c>
    </row>
    <row r="3" spans="1:15" x14ac:dyDescent="0.35">
      <c r="H3">
        <f t="shared" ref="H3:H7" si="0">ROW()-1</f>
        <v>2</v>
      </c>
      <c r="J3">
        <f>J2+1</f>
        <v>2</v>
      </c>
      <c r="K3">
        <v>98.512976460259949</v>
      </c>
      <c r="M3">
        <f>AVERAGE(K2:K201)</f>
        <v>98.50121517930549</v>
      </c>
      <c r="N3">
        <f>MIN(K2:K201)</f>
        <v>75.444930245822604</v>
      </c>
      <c r="O3">
        <f>MAX(K2:K201)</f>
        <v>132.20382504629214</v>
      </c>
    </row>
    <row r="4" spans="1:15" x14ac:dyDescent="0.35">
      <c r="A4" t="s">
        <v>0</v>
      </c>
      <c r="B4" t="s">
        <v>6</v>
      </c>
      <c r="C4" t="s">
        <v>7</v>
      </c>
      <c r="D4" t="s">
        <v>9</v>
      </c>
      <c r="E4" t="s">
        <v>11</v>
      </c>
      <c r="F4" t="s">
        <v>12</v>
      </c>
      <c r="G4" t="s">
        <v>13</v>
      </c>
      <c r="H4">
        <f t="shared" si="0"/>
        <v>3</v>
      </c>
      <c r="J4">
        <f t="shared" ref="J4:J67" si="1">J3+1</f>
        <v>3</v>
      </c>
      <c r="K4">
        <v>95.921240688803039</v>
      </c>
    </row>
    <row r="5" spans="1:15" x14ac:dyDescent="0.35">
      <c r="A5">
        <v>1</v>
      </c>
      <c r="B5">
        <f ca="1">0.7 + ((RAND() + $H$2/10000) - 0.5) * 2 * 0.3</f>
        <v>0.5188474846242328</v>
      </c>
      <c r="C5">
        <f t="shared" ref="C5:C32" ca="1" si="2">$E$2 * B5</f>
        <v>75.647963258213153</v>
      </c>
      <c r="D5">
        <f t="shared" ref="D5:D32" ca="1" si="3" xml:space="preserve"> $G$2 /B5</f>
        <v>77093.946073515952</v>
      </c>
      <c r="E5">
        <f ca="1">SUM(C5:C8)</f>
        <v>462.40267060838164</v>
      </c>
      <c r="F5">
        <f ca="1">$G$2/E5</f>
        <v>86.504690700363241</v>
      </c>
      <c r="H5">
        <f t="shared" si="0"/>
        <v>4</v>
      </c>
      <c r="J5">
        <f t="shared" si="1"/>
        <v>4</v>
      </c>
      <c r="K5">
        <v>88.589509496539847</v>
      </c>
    </row>
    <row r="6" spans="1:15" x14ac:dyDescent="0.35">
      <c r="A6">
        <v>2</v>
      </c>
      <c r="B6">
        <f ca="1">0.7 + ((RAND() + $H$2/10000) - 0.5) * 2 * 0.3</f>
        <v>0.72316080978875696</v>
      </c>
      <c r="C6">
        <f t="shared" ca="1" si="2"/>
        <v>105.43684606720078</v>
      </c>
      <c r="D6">
        <f t="shared" ca="1" si="3"/>
        <v>55312.731910464601</v>
      </c>
      <c r="H6">
        <f t="shared" si="0"/>
        <v>5</v>
      </c>
      <c r="J6">
        <f t="shared" si="1"/>
        <v>5</v>
      </c>
      <c r="K6">
        <v>130.35163221387796</v>
      </c>
    </row>
    <row r="7" spans="1:15" x14ac:dyDescent="0.35">
      <c r="A7">
        <v>3</v>
      </c>
      <c r="B7">
        <f ca="1">0.7 + ((RAND() + $H$2/10000) - 0.5) * 2 * 0.3</f>
        <v>0.9308764372305689</v>
      </c>
      <c r="C7">
        <f t="shared" ca="1" si="2"/>
        <v>135.72178454821696</v>
      </c>
      <c r="D7">
        <f t="shared" ca="1" si="3"/>
        <v>42970.257276038879</v>
      </c>
      <c r="H7">
        <f t="shared" si="0"/>
        <v>6</v>
      </c>
      <c r="J7">
        <f t="shared" si="1"/>
        <v>6</v>
      </c>
      <c r="K7">
        <v>92.389892036885243</v>
      </c>
    </row>
    <row r="8" spans="1:15" x14ac:dyDescent="0.35">
      <c r="A8">
        <v>4</v>
      </c>
      <c r="B8">
        <f ca="1">0.7 + ((RAND() + $H$2/10000) - 0.5) * 2 * 0.3</f>
        <v>0.99860134934671296</v>
      </c>
      <c r="C8">
        <f t="shared" ca="1" si="2"/>
        <v>145.59607673475077</v>
      </c>
      <c r="D8">
        <f t="shared" ca="1" si="3"/>
        <v>40056.024384673707</v>
      </c>
      <c r="H8">
        <f>ROW()-1</f>
        <v>7</v>
      </c>
      <c r="J8">
        <f t="shared" si="1"/>
        <v>7</v>
      </c>
      <c r="K8">
        <v>105.04045472369786</v>
      </c>
    </row>
    <row r="9" spans="1:15" x14ac:dyDescent="0.35">
      <c r="H9">
        <f t="shared" ref="H9:H66" si="4">ROW()-1</f>
        <v>8</v>
      </c>
      <c r="J9">
        <f t="shared" si="1"/>
        <v>8</v>
      </c>
      <c r="K9">
        <v>132.20382504629214</v>
      </c>
    </row>
    <row r="10" spans="1:15" x14ac:dyDescent="0.35">
      <c r="H10">
        <f t="shared" si="4"/>
        <v>9</v>
      </c>
      <c r="J10">
        <f t="shared" si="1"/>
        <v>9</v>
      </c>
      <c r="K10">
        <v>97.061015664459262</v>
      </c>
    </row>
    <row r="11" spans="1:15" x14ac:dyDescent="0.35">
      <c r="H11">
        <f t="shared" si="4"/>
        <v>10</v>
      </c>
      <c r="J11">
        <f t="shared" si="1"/>
        <v>10</v>
      </c>
      <c r="K11">
        <v>92.530871011101695</v>
      </c>
    </row>
    <row r="12" spans="1:15" x14ac:dyDescent="0.35">
      <c r="H12">
        <f t="shared" si="4"/>
        <v>11</v>
      </c>
      <c r="J12">
        <f t="shared" si="1"/>
        <v>11</v>
      </c>
      <c r="K12">
        <v>102.9871732867275</v>
      </c>
    </row>
    <row r="13" spans="1:15" x14ac:dyDescent="0.35">
      <c r="H13">
        <f t="shared" si="4"/>
        <v>12</v>
      </c>
      <c r="J13">
        <f t="shared" si="1"/>
        <v>12</v>
      </c>
      <c r="K13">
        <v>121.32272563647021</v>
      </c>
    </row>
    <row r="14" spans="1:15" x14ac:dyDescent="0.35">
      <c r="H14">
        <f t="shared" si="4"/>
        <v>13</v>
      </c>
      <c r="J14">
        <f t="shared" si="1"/>
        <v>13</v>
      </c>
      <c r="K14">
        <v>122.33835969160077</v>
      </c>
    </row>
    <row r="15" spans="1:15" x14ac:dyDescent="0.35">
      <c r="H15">
        <f t="shared" si="4"/>
        <v>14</v>
      </c>
      <c r="J15">
        <f t="shared" si="1"/>
        <v>14</v>
      </c>
      <c r="K15">
        <v>77.426169267491019</v>
      </c>
    </row>
    <row r="16" spans="1:15" x14ac:dyDescent="0.35">
      <c r="H16">
        <f t="shared" si="4"/>
        <v>15</v>
      </c>
      <c r="J16">
        <f t="shared" si="1"/>
        <v>15</v>
      </c>
      <c r="K16">
        <v>94.783650583007102</v>
      </c>
    </row>
    <row r="17" spans="8:11" x14ac:dyDescent="0.35">
      <c r="H17">
        <f t="shared" si="4"/>
        <v>16</v>
      </c>
      <c r="J17">
        <f t="shared" si="1"/>
        <v>16</v>
      </c>
      <c r="K17">
        <v>97.124452002118289</v>
      </c>
    </row>
    <row r="18" spans="8:11" x14ac:dyDescent="0.35">
      <c r="H18">
        <f t="shared" si="4"/>
        <v>17</v>
      </c>
      <c r="J18">
        <f t="shared" si="1"/>
        <v>17</v>
      </c>
      <c r="K18">
        <v>103.35621511230373</v>
      </c>
    </row>
    <row r="19" spans="8:11" x14ac:dyDescent="0.35">
      <c r="H19">
        <f t="shared" si="4"/>
        <v>18</v>
      </c>
      <c r="J19">
        <f t="shared" si="1"/>
        <v>18</v>
      </c>
      <c r="K19">
        <v>107.53972532538845</v>
      </c>
    </row>
    <row r="20" spans="8:11" x14ac:dyDescent="0.35">
      <c r="H20">
        <f t="shared" si="4"/>
        <v>19</v>
      </c>
      <c r="J20">
        <f t="shared" si="1"/>
        <v>19</v>
      </c>
      <c r="K20">
        <v>108.94396836276275</v>
      </c>
    </row>
    <row r="21" spans="8:11" x14ac:dyDescent="0.35">
      <c r="H21">
        <f t="shared" si="4"/>
        <v>20</v>
      </c>
      <c r="J21">
        <f t="shared" si="1"/>
        <v>20</v>
      </c>
      <c r="K21">
        <v>96.120132494777366</v>
      </c>
    </row>
    <row r="22" spans="8:11" x14ac:dyDescent="0.35">
      <c r="H22">
        <f t="shared" si="4"/>
        <v>21</v>
      </c>
      <c r="J22">
        <f t="shared" si="1"/>
        <v>21</v>
      </c>
      <c r="K22">
        <v>75.58071515402905</v>
      </c>
    </row>
    <row r="23" spans="8:11" x14ac:dyDescent="0.35">
      <c r="H23">
        <f t="shared" si="4"/>
        <v>22</v>
      </c>
      <c r="J23">
        <f t="shared" si="1"/>
        <v>22</v>
      </c>
      <c r="K23">
        <v>93.818804013316239</v>
      </c>
    </row>
    <row r="24" spans="8:11" x14ac:dyDescent="0.35">
      <c r="H24">
        <f t="shared" si="4"/>
        <v>23</v>
      </c>
      <c r="J24">
        <f t="shared" si="1"/>
        <v>23</v>
      </c>
      <c r="K24">
        <v>103.83394456313563</v>
      </c>
    </row>
    <row r="25" spans="8:11" x14ac:dyDescent="0.35">
      <c r="H25">
        <f t="shared" si="4"/>
        <v>24</v>
      </c>
      <c r="J25">
        <f t="shared" si="1"/>
        <v>24</v>
      </c>
      <c r="K25">
        <v>98.88642652977525</v>
      </c>
    </row>
    <row r="26" spans="8:11" x14ac:dyDescent="0.35">
      <c r="H26">
        <f t="shared" si="4"/>
        <v>25</v>
      </c>
      <c r="J26">
        <f t="shared" si="1"/>
        <v>25</v>
      </c>
      <c r="K26">
        <v>119.15044486516877</v>
      </c>
    </row>
    <row r="27" spans="8:11" x14ac:dyDescent="0.35">
      <c r="H27">
        <f t="shared" si="4"/>
        <v>26</v>
      </c>
      <c r="J27">
        <f t="shared" si="1"/>
        <v>26</v>
      </c>
      <c r="K27">
        <v>100.12253565966611</v>
      </c>
    </row>
    <row r="28" spans="8:11" x14ac:dyDescent="0.35">
      <c r="H28">
        <f t="shared" si="4"/>
        <v>27</v>
      </c>
      <c r="J28">
        <f t="shared" si="1"/>
        <v>27</v>
      </c>
      <c r="K28">
        <v>112.60582272903439</v>
      </c>
    </row>
    <row r="29" spans="8:11" x14ac:dyDescent="0.35">
      <c r="H29">
        <f t="shared" si="4"/>
        <v>28</v>
      </c>
      <c r="J29">
        <f t="shared" si="1"/>
        <v>28</v>
      </c>
      <c r="K29">
        <v>107.71580595995141</v>
      </c>
    </row>
    <row r="30" spans="8:11" x14ac:dyDescent="0.35">
      <c r="H30">
        <f t="shared" si="4"/>
        <v>29</v>
      </c>
      <c r="J30">
        <f t="shared" si="1"/>
        <v>29</v>
      </c>
      <c r="K30">
        <v>114.82221938125613</v>
      </c>
    </row>
    <row r="31" spans="8:11" x14ac:dyDescent="0.35">
      <c r="H31">
        <f t="shared" si="4"/>
        <v>30</v>
      </c>
      <c r="J31">
        <f t="shared" si="1"/>
        <v>30</v>
      </c>
      <c r="K31">
        <v>100.72602360995374</v>
      </c>
    </row>
    <row r="32" spans="8:11" x14ac:dyDescent="0.35">
      <c r="H32">
        <f t="shared" si="4"/>
        <v>31</v>
      </c>
      <c r="J32">
        <f t="shared" si="1"/>
        <v>31</v>
      </c>
      <c r="K32">
        <v>97.279791932099428</v>
      </c>
    </row>
    <row r="33" spans="8:11" x14ac:dyDescent="0.35">
      <c r="H33">
        <f t="shared" si="4"/>
        <v>32</v>
      </c>
      <c r="J33">
        <f t="shared" si="1"/>
        <v>32</v>
      </c>
      <c r="K33">
        <v>98.657885435148046</v>
      </c>
    </row>
    <row r="34" spans="8:11" x14ac:dyDescent="0.35">
      <c r="H34">
        <f t="shared" si="4"/>
        <v>33</v>
      </c>
      <c r="J34">
        <f t="shared" si="1"/>
        <v>33</v>
      </c>
      <c r="K34">
        <v>118.95247587801508</v>
      </c>
    </row>
    <row r="35" spans="8:11" x14ac:dyDescent="0.35">
      <c r="H35">
        <f t="shared" si="4"/>
        <v>34</v>
      </c>
      <c r="J35">
        <f t="shared" si="1"/>
        <v>34</v>
      </c>
      <c r="K35">
        <v>107.82266720783011</v>
      </c>
    </row>
    <row r="36" spans="8:11" x14ac:dyDescent="0.35">
      <c r="H36">
        <f t="shared" si="4"/>
        <v>35</v>
      </c>
      <c r="J36">
        <f t="shared" si="1"/>
        <v>35</v>
      </c>
      <c r="K36">
        <v>109.86000231158155</v>
      </c>
    </row>
    <row r="37" spans="8:11" x14ac:dyDescent="0.35">
      <c r="H37">
        <f t="shared" si="4"/>
        <v>36</v>
      </c>
      <c r="J37">
        <f t="shared" si="1"/>
        <v>36</v>
      </c>
      <c r="K37">
        <v>90.994865324768554</v>
      </c>
    </row>
    <row r="38" spans="8:11" x14ac:dyDescent="0.35">
      <c r="H38">
        <f t="shared" si="4"/>
        <v>37</v>
      </c>
      <c r="J38">
        <f t="shared" si="1"/>
        <v>37</v>
      </c>
      <c r="K38">
        <v>115.01149682224016</v>
      </c>
    </row>
    <row r="39" spans="8:11" x14ac:dyDescent="0.35">
      <c r="H39">
        <f t="shared" si="4"/>
        <v>38</v>
      </c>
      <c r="J39">
        <f t="shared" si="1"/>
        <v>38</v>
      </c>
      <c r="K39">
        <v>88.979181769395453</v>
      </c>
    </row>
    <row r="40" spans="8:11" x14ac:dyDescent="0.35">
      <c r="H40">
        <f t="shared" si="4"/>
        <v>39</v>
      </c>
      <c r="J40">
        <f t="shared" si="1"/>
        <v>39</v>
      </c>
      <c r="K40">
        <v>92.341646783058778</v>
      </c>
    </row>
    <row r="41" spans="8:11" x14ac:dyDescent="0.35">
      <c r="H41">
        <f t="shared" si="4"/>
        <v>40</v>
      </c>
      <c r="J41">
        <f t="shared" si="1"/>
        <v>40</v>
      </c>
      <c r="K41">
        <v>83.312096702546484</v>
      </c>
    </row>
    <row r="42" spans="8:11" x14ac:dyDescent="0.35">
      <c r="H42">
        <f t="shared" si="4"/>
        <v>41</v>
      </c>
      <c r="J42">
        <f t="shared" si="1"/>
        <v>41</v>
      </c>
      <c r="K42">
        <v>96.897912580747033</v>
      </c>
    </row>
    <row r="43" spans="8:11" x14ac:dyDescent="0.35">
      <c r="H43">
        <f t="shared" si="4"/>
        <v>42</v>
      </c>
      <c r="J43">
        <f t="shared" si="1"/>
        <v>42</v>
      </c>
      <c r="K43">
        <v>81.24957272243185</v>
      </c>
    </row>
    <row r="44" spans="8:11" x14ac:dyDescent="0.35">
      <c r="H44">
        <f t="shared" si="4"/>
        <v>43</v>
      </c>
      <c r="J44">
        <f t="shared" si="1"/>
        <v>43</v>
      </c>
      <c r="K44">
        <v>100.01366707349425</v>
      </c>
    </row>
    <row r="45" spans="8:11" x14ac:dyDescent="0.35">
      <c r="H45">
        <f t="shared" si="4"/>
        <v>44</v>
      </c>
      <c r="J45">
        <f t="shared" si="1"/>
        <v>44</v>
      </c>
      <c r="K45">
        <v>109.28537674945318</v>
      </c>
    </row>
    <row r="46" spans="8:11" x14ac:dyDescent="0.35">
      <c r="H46">
        <f t="shared" si="4"/>
        <v>45</v>
      </c>
      <c r="J46">
        <f t="shared" si="1"/>
        <v>45</v>
      </c>
      <c r="K46">
        <v>79.886207243131196</v>
      </c>
    </row>
    <row r="47" spans="8:11" x14ac:dyDescent="0.35">
      <c r="H47">
        <f t="shared" si="4"/>
        <v>46</v>
      </c>
      <c r="J47">
        <f t="shared" si="1"/>
        <v>46</v>
      </c>
      <c r="K47">
        <v>92.951343629546486</v>
      </c>
    </row>
    <row r="48" spans="8:11" x14ac:dyDescent="0.35">
      <c r="H48">
        <f t="shared" si="4"/>
        <v>47</v>
      </c>
      <c r="J48">
        <f t="shared" si="1"/>
        <v>47</v>
      </c>
      <c r="K48">
        <v>100.57660747281749</v>
      </c>
    </row>
    <row r="49" spans="8:11" x14ac:dyDescent="0.35">
      <c r="H49">
        <f t="shared" si="4"/>
        <v>48</v>
      </c>
      <c r="J49">
        <f t="shared" si="1"/>
        <v>48</v>
      </c>
      <c r="K49">
        <v>92.329176415753722</v>
      </c>
    </row>
    <row r="50" spans="8:11" x14ac:dyDescent="0.35">
      <c r="H50">
        <f t="shared" si="4"/>
        <v>49</v>
      </c>
      <c r="J50">
        <f t="shared" si="1"/>
        <v>49</v>
      </c>
      <c r="K50">
        <v>85.420432504770773</v>
      </c>
    </row>
    <row r="51" spans="8:11" x14ac:dyDescent="0.35">
      <c r="H51">
        <f t="shared" si="4"/>
        <v>50</v>
      </c>
      <c r="J51">
        <f t="shared" si="1"/>
        <v>50</v>
      </c>
      <c r="K51">
        <v>78.185651730817497</v>
      </c>
    </row>
    <row r="52" spans="8:11" x14ac:dyDescent="0.35">
      <c r="H52">
        <f t="shared" si="4"/>
        <v>51</v>
      </c>
      <c r="J52">
        <f t="shared" si="1"/>
        <v>51</v>
      </c>
      <c r="K52">
        <v>94.27611417843697</v>
      </c>
    </row>
    <row r="53" spans="8:11" x14ac:dyDescent="0.35">
      <c r="H53">
        <f t="shared" si="4"/>
        <v>52</v>
      </c>
      <c r="J53">
        <f t="shared" si="1"/>
        <v>52</v>
      </c>
      <c r="K53">
        <v>87.62196124212052</v>
      </c>
    </row>
    <row r="54" spans="8:11" x14ac:dyDescent="0.35">
      <c r="H54">
        <f t="shared" si="4"/>
        <v>53</v>
      </c>
      <c r="J54">
        <f t="shared" si="1"/>
        <v>53</v>
      </c>
      <c r="K54">
        <v>119.77772555469184</v>
      </c>
    </row>
    <row r="55" spans="8:11" x14ac:dyDescent="0.35">
      <c r="H55">
        <f t="shared" si="4"/>
        <v>54</v>
      </c>
      <c r="J55">
        <f t="shared" si="1"/>
        <v>54</v>
      </c>
      <c r="K55">
        <v>92.225256017813066</v>
      </c>
    </row>
    <row r="56" spans="8:11" x14ac:dyDescent="0.35">
      <c r="H56">
        <f t="shared" si="4"/>
        <v>55</v>
      </c>
      <c r="J56">
        <f t="shared" si="1"/>
        <v>55</v>
      </c>
      <c r="K56">
        <v>121.17674357448732</v>
      </c>
    </row>
    <row r="57" spans="8:11" x14ac:dyDescent="0.35">
      <c r="H57">
        <f t="shared" si="4"/>
        <v>56</v>
      </c>
      <c r="J57">
        <f t="shared" si="1"/>
        <v>56</v>
      </c>
      <c r="K57">
        <v>83.600015650255799</v>
      </c>
    </row>
    <row r="58" spans="8:11" x14ac:dyDescent="0.35">
      <c r="H58">
        <f t="shared" si="4"/>
        <v>57</v>
      </c>
      <c r="J58">
        <f t="shared" si="1"/>
        <v>57</v>
      </c>
      <c r="K58">
        <v>100.46800574650416</v>
      </c>
    </row>
    <row r="59" spans="8:11" x14ac:dyDescent="0.35">
      <c r="H59">
        <f t="shared" si="4"/>
        <v>58</v>
      </c>
      <c r="J59">
        <f t="shared" si="1"/>
        <v>58</v>
      </c>
      <c r="K59">
        <v>80.716358040087599</v>
      </c>
    </row>
    <row r="60" spans="8:11" x14ac:dyDescent="0.35">
      <c r="H60">
        <f t="shared" si="4"/>
        <v>59</v>
      </c>
      <c r="J60">
        <f t="shared" si="1"/>
        <v>59</v>
      </c>
      <c r="K60">
        <v>109.71369560328384</v>
      </c>
    </row>
    <row r="61" spans="8:11" x14ac:dyDescent="0.35">
      <c r="H61">
        <f t="shared" si="4"/>
        <v>60</v>
      </c>
      <c r="J61">
        <f t="shared" si="1"/>
        <v>60</v>
      </c>
      <c r="K61">
        <v>87.495301522217034</v>
      </c>
    </row>
    <row r="62" spans="8:11" x14ac:dyDescent="0.35">
      <c r="H62">
        <f t="shared" si="4"/>
        <v>61</v>
      </c>
      <c r="J62">
        <f t="shared" si="1"/>
        <v>61</v>
      </c>
      <c r="K62">
        <v>78.655131241127961</v>
      </c>
    </row>
    <row r="63" spans="8:11" x14ac:dyDescent="0.35">
      <c r="H63">
        <f t="shared" si="4"/>
        <v>62</v>
      </c>
      <c r="J63">
        <f t="shared" si="1"/>
        <v>62</v>
      </c>
      <c r="K63">
        <v>100.4654901865805</v>
      </c>
    </row>
    <row r="64" spans="8:11" x14ac:dyDescent="0.35">
      <c r="H64">
        <f t="shared" si="4"/>
        <v>63</v>
      </c>
      <c r="J64">
        <f t="shared" si="1"/>
        <v>63</v>
      </c>
      <c r="K64">
        <v>104.57975050729338</v>
      </c>
    </row>
    <row r="65" spans="8:11" x14ac:dyDescent="0.35">
      <c r="H65">
        <f t="shared" si="4"/>
        <v>64</v>
      </c>
      <c r="J65">
        <f t="shared" si="1"/>
        <v>64</v>
      </c>
      <c r="K65">
        <v>92.591011131341745</v>
      </c>
    </row>
    <row r="66" spans="8:11" x14ac:dyDescent="0.35">
      <c r="H66">
        <f t="shared" si="4"/>
        <v>65</v>
      </c>
      <c r="J66">
        <f t="shared" si="1"/>
        <v>65</v>
      </c>
      <c r="K66">
        <v>108.18903430294318</v>
      </c>
    </row>
    <row r="67" spans="8:11" x14ac:dyDescent="0.35">
      <c r="J67">
        <f t="shared" si="1"/>
        <v>66</v>
      </c>
      <c r="K67">
        <v>103.75393214278952</v>
      </c>
    </row>
    <row r="68" spans="8:11" x14ac:dyDescent="0.35">
      <c r="J68">
        <f t="shared" ref="J68:J131" si="5">J67+1</f>
        <v>67</v>
      </c>
      <c r="K68">
        <v>110.5145656058079</v>
      </c>
    </row>
    <row r="69" spans="8:11" x14ac:dyDescent="0.35">
      <c r="J69">
        <f t="shared" si="5"/>
        <v>68</v>
      </c>
      <c r="K69">
        <v>96.415607914460224</v>
      </c>
    </row>
    <row r="70" spans="8:11" x14ac:dyDescent="0.35">
      <c r="J70">
        <f t="shared" si="5"/>
        <v>69</v>
      </c>
      <c r="K70">
        <v>87.155519026944845</v>
      </c>
    </row>
    <row r="71" spans="8:11" x14ac:dyDescent="0.35">
      <c r="J71">
        <f t="shared" si="5"/>
        <v>70</v>
      </c>
      <c r="K71">
        <v>106.90322522908255</v>
      </c>
    </row>
    <row r="72" spans="8:11" x14ac:dyDescent="0.35">
      <c r="J72">
        <f t="shared" si="5"/>
        <v>71</v>
      </c>
      <c r="K72">
        <v>100.73527070516393</v>
      </c>
    </row>
    <row r="73" spans="8:11" x14ac:dyDescent="0.35">
      <c r="J73">
        <f t="shared" si="5"/>
        <v>72</v>
      </c>
      <c r="K73">
        <v>95.858366031429</v>
      </c>
    </row>
    <row r="74" spans="8:11" x14ac:dyDescent="0.35">
      <c r="J74">
        <f t="shared" si="5"/>
        <v>73</v>
      </c>
      <c r="K74">
        <v>94.059937790265323</v>
      </c>
    </row>
    <row r="75" spans="8:11" x14ac:dyDescent="0.35">
      <c r="J75">
        <f t="shared" si="5"/>
        <v>74</v>
      </c>
      <c r="K75">
        <v>106.99265222871936</v>
      </c>
    </row>
    <row r="76" spans="8:11" x14ac:dyDescent="0.35">
      <c r="J76">
        <f t="shared" si="5"/>
        <v>75</v>
      </c>
      <c r="K76">
        <v>98.044539472777643</v>
      </c>
    </row>
    <row r="77" spans="8:11" x14ac:dyDescent="0.35">
      <c r="J77">
        <f t="shared" si="5"/>
        <v>76</v>
      </c>
      <c r="K77">
        <v>93.939230451295614</v>
      </c>
    </row>
    <row r="78" spans="8:11" x14ac:dyDescent="0.35">
      <c r="J78">
        <f t="shared" si="5"/>
        <v>77</v>
      </c>
      <c r="K78">
        <v>112.6984739425407</v>
      </c>
    </row>
    <row r="79" spans="8:11" x14ac:dyDescent="0.35">
      <c r="J79">
        <f t="shared" si="5"/>
        <v>78</v>
      </c>
      <c r="K79">
        <v>92.933264655341588</v>
      </c>
    </row>
    <row r="80" spans="8:11" x14ac:dyDescent="0.35">
      <c r="J80">
        <f t="shared" si="5"/>
        <v>79</v>
      </c>
      <c r="K80">
        <v>96.7965065095363</v>
      </c>
    </row>
    <row r="81" spans="10:11" x14ac:dyDescent="0.35">
      <c r="J81">
        <f t="shared" si="5"/>
        <v>80</v>
      </c>
      <c r="K81">
        <v>94.958947627933313</v>
      </c>
    </row>
    <row r="82" spans="10:11" x14ac:dyDescent="0.35">
      <c r="J82">
        <f t="shared" si="5"/>
        <v>81</v>
      </c>
      <c r="K82">
        <v>95.538822586091044</v>
      </c>
    </row>
    <row r="83" spans="10:11" x14ac:dyDescent="0.35">
      <c r="J83">
        <f t="shared" si="5"/>
        <v>82</v>
      </c>
      <c r="K83">
        <v>88.841053555529982</v>
      </c>
    </row>
    <row r="84" spans="10:11" x14ac:dyDescent="0.35">
      <c r="J84">
        <f t="shared" si="5"/>
        <v>83</v>
      </c>
      <c r="K84">
        <v>103.76073281333973</v>
      </c>
    </row>
    <row r="85" spans="10:11" x14ac:dyDescent="0.35">
      <c r="J85">
        <f t="shared" si="5"/>
        <v>84</v>
      </c>
      <c r="K85">
        <v>90.511767506754268</v>
      </c>
    </row>
    <row r="86" spans="10:11" x14ac:dyDescent="0.35">
      <c r="J86">
        <f t="shared" si="5"/>
        <v>85</v>
      </c>
      <c r="K86">
        <v>89.939965068145511</v>
      </c>
    </row>
    <row r="87" spans="10:11" x14ac:dyDescent="0.35">
      <c r="J87">
        <f t="shared" si="5"/>
        <v>86</v>
      </c>
      <c r="K87">
        <v>98.480914723473063</v>
      </c>
    </row>
    <row r="88" spans="10:11" x14ac:dyDescent="0.35">
      <c r="J88">
        <f t="shared" si="5"/>
        <v>87</v>
      </c>
      <c r="K88">
        <v>91.961578424573688</v>
      </c>
    </row>
    <row r="89" spans="10:11" x14ac:dyDescent="0.35">
      <c r="J89">
        <f t="shared" si="5"/>
        <v>88</v>
      </c>
      <c r="K89">
        <v>99.235825458599734</v>
      </c>
    </row>
    <row r="90" spans="10:11" x14ac:dyDescent="0.35">
      <c r="J90">
        <f t="shared" si="5"/>
        <v>89</v>
      </c>
      <c r="K90">
        <v>110.74572675029526</v>
      </c>
    </row>
    <row r="91" spans="10:11" x14ac:dyDescent="0.35">
      <c r="J91">
        <f t="shared" si="5"/>
        <v>90</v>
      </c>
      <c r="K91">
        <v>105.6325770923544</v>
      </c>
    </row>
    <row r="92" spans="10:11" x14ac:dyDescent="0.35">
      <c r="J92">
        <f t="shared" si="5"/>
        <v>91</v>
      </c>
      <c r="K92">
        <v>102.09186769628187</v>
      </c>
    </row>
    <row r="93" spans="10:11" x14ac:dyDescent="0.35">
      <c r="J93">
        <f t="shared" si="5"/>
        <v>92</v>
      </c>
      <c r="K93">
        <v>102.81906158753468</v>
      </c>
    </row>
    <row r="94" spans="10:11" x14ac:dyDescent="0.35">
      <c r="J94">
        <f t="shared" si="5"/>
        <v>93</v>
      </c>
      <c r="K94">
        <v>104.12024066542203</v>
      </c>
    </row>
    <row r="95" spans="10:11" x14ac:dyDescent="0.35">
      <c r="J95">
        <f t="shared" si="5"/>
        <v>94</v>
      </c>
      <c r="K95">
        <v>121.37515560472183</v>
      </c>
    </row>
    <row r="96" spans="10:11" x14ac:dyDescent="0.35">
      <c r="J96">
        <f t="shared" si="5"/>
        <v>95</v>
      </c>
      <c r="K96">
        <v>101.65673226468627</v>
      </c>
    </row>
    <row r="97" spans="10:11" x14ac:dyDescent="0.35">
      <c r="J97">
        <f t="shared" si="5"/>
        <v>96</v>
      </c>
      <c r="K97">
        <v>75.444930245822604</v>
      </c>
    </row>
    <row r="98" spans="10:11" x14ac:dyDescent="0.35">
      <c r="J98">
        <f t="shared" si="5"/>
        <v>97</v>
      </c>
      <c r="K98">
        <v>92.994986286881428</v>
      </c>
    </row>
    <row r="99" spans="10:11" x14ac:dyDescent="0.35">
      <c r="J99">
        <f t="shared" si="5"/>
        <v>98</v>
      </c>
      <c r="K99">
        <v>110.5866471435225</v>
      </c>
    </row>
    <row r="100" spans="10:11" x14ac:dyDescent="0.35">
      <c r="J100">
        <f t="shared" si="5"/>
        <v>99</v>
      </c>
      <c r="K100">
        <v>96.943387377177885</v>
      </c>
    </row>
    <row r="101" spans="10:11" x14ac:dyDescent="0.35">
      <c r="J101">
        <f t="shared" si="5"/>
        <v>100</v>
      </c>
      <c r="K101">
        <v>91.28490097991741</v>
      </c>
    </row>
    <row r="102" spans="10:11" x14ac:dyDescent="0.35">
      <c r="J102">
        <f t="shared" si="5"/>
        <v>101</v>
      </c>
      <c r="K102">
        <v>123.05855639666117</v>
      </c>
    </row>
    <row r="103" spans="10:11" x14ac:dyDescent="0.35">
      <c r="J103">
        <f t="shared" si="5"/>
        <v>102</v>
      </c>
      <c r="K103">
        <v>83.663846023806769</v>
      </c>
    </row>
    <row r="104" spans="10:11" x14ac:dyDescent="0.35">
      <c r="J104">
        <f t="shared" si="5"/>
        <v>103</v>
      </c>
      <c r="K104">
        <v>82.526430713875882</v>
      </c>
    </row>
    <row r="105" spans="10:11" x14ac:dyDescent="0.35">
      <c r="J105">
        <f t="shared" si="5"/>
        <v>104</v>
      </c>
      <c r="K105">
        <v>85.046520169340511</v>
      </c>
    </row>
    <row r="106" spans="10:11" x14ac:dyDescent="0.35">
      <c r="J106">
        <f t="shared" si="5"/>
        <v>105</v>
      </c>
      <c r="K106">
        <v>81.642622581724169</v>
      </c>
    </row>
    <row r="107" spans="10:11" x14ac:dyDescent="0.35">
      <c r="J107">
        <f t="shared" si="5"/>
        <v>106</v>
      </c>
      <c r="K107">
        <v>110.74831501511693</v>
      </c>
    </row>
    <row r="108" spans="10:11" x14ac:dyDescent="0.35">
      <c r="J108">
        <f t="shared" si="5"/>
        <v>107</v>
      </c>
      <c r="K108">
        <v>88.998225219003189</v>
      </c>
    </row>
    <row r="109" spans="10:11" x14ac:dyDescent="0.35">
      <c r="J109">
        <f t="shared" si="5"/>
        <v>108</v>
      </c>
      <c r="K109">
        <v>105.51769466098565</v>
      </c>
    </row>
    <row r="110" spans="10:11" x14ac:dyDescent="0.35">
      <c r="J110">
        <f t="shared" si="5"/>
        <v>109</v>
      </c>
      <c r="K110">
        <v>94.984654007258612</v>
      </c>
    </row>
    <row r="111" spans="10:11" x14ac:dyDescent="0.35">
      <c r="J111">
        <f t="shared" si="5"/>
        <v>110</v>
      </c>
      <c r="K111">
        <v>83.999626527920327</v>
      </c>
    </row>
    <row r="112" spans="10:11" x14ac:dyDescent="0.35">
      <c r="J112">
        <f t="shared" si="5"/>
        <v>111</v>
      </c>
      <c r="K112">
        <v>101.51464647873108</v>
      </c>
    </row>
    <row r="113" spans="10:11" x14ac:dyDescent="0.35">
      <c r="J113">
        <f t="shared" si="5"/>
        <v>112</v>
      </c>
      <c r="K113">
        <v>75.787320876314183</v>
      </c>
    </row>
    <row r="114" spans="10:11" x14ac:dyDescent="0.35">
      <c r="J114">
        <f t="shared" si="5"/>
        <v>113</v>
      </c>
      <c r="K114">
        <v>98.265919109061585</v>
      </c>
    </row>
    <row r="115" spans="10:11" x14ac:dyDescent="0.35">
      <c r="J115">
        <f t="shared" si="5"/>
        <v>114</v>
      </c>
      <c r="K115">
        <v>107.41432056218086</v>
      </c>
    </row>
    <row r="116" spans="10:11" x14ac:dyDescent="0.35">
      <c r="J116">
        <f t="shared" si="5"/>
        <v>115</v>
      </c>
      <c r="K116">
        <v>104.58486481811994</v>
      </c>
    </row>
    <row r="117" spans="10:11" x14ac:dyDescent="0.35">
      <c r="J117">
        <f t="shared" si="5"/>
        <v>116</v>
      </c>
      <c r="K117">
        <v>99.949316577037436</v>
      </c>
    </row>
    <row r="118" spans="10:11" x14ac:dyDescent="0.35">
      <c r="J118">
        <f t="shared" si="5"/>
        <v>117</v>
      </c>
      <c r="K118">
        <v>98.396848338285309</v>
      </c>
    </row>
    <row r="119" spans="10:11" x14ac:dyDescent="0.35">
      <c r="J119">
        <f t="shared" si="5"/>
        <v>118</v>
      </c>
      <c r="K119">
        <v>101.468829605837</v>
      </c>
    </row>
    <row r="120" spans="10:11" x14ac:dyDescent="0.35">
      <c r="J120">
        <f t="shared" si="5"/>
        <v>119</v>
      </c>
      <c r="K120">
        <v>87.958811813552032</v>
      </c>
    </row>
    <row r="121" spans="10:11" x14ac:dyDescent="0.35">
      <c r="J121">
        <f t="shared" si="5"/>
        <v>120</v>
      </c>
      <c r="K121">
        <v>93.205071887298843</v>
      </c>
    </row>
    <row r="122" spans="10:11" x14ac:dyDescent="0.35">
      <c r="J122">
        <f t="shared" si="5"/>
        <v>121</v>
      </c>
      <c r="K122">
        <v>81.59265206365211</v>
      </c>
    </row>
    <row r="123" spans="10:11" x14ac:dyDescent="0.35">
      <c r="J123">
        <f t="shared" si="5"/>
        <v>122</v>
      </c>
      <c r="K123">
        <v>95.905950861820372</v>
      </c>
    </row>
    <row r="124" spans="10:11" x14ac:dyDescent="0.35">
      <c r="J124">
        <f t="shared" si="5"/>
        <v>123</v>
      </c>
      <c r="K124">
        <v>93.278158761439869</v>
      </c>
    </row>
    <row r="125" spans="10:11" x14ac:dyDescent="0.35">
      <c r="J125">
        <f t="shared" si="5"/>
        <v>124</v>
      </c>
      <c r="K125">
        <v>84.788589924862379</v>
      </c>
    </row>
    <row r="126" spans="10:11" x14ac:dyDescent="0.35">
      <c r="J126">
        <f t="shared" si="5"/>
        <v>125</v>
      </c>
      <c r="K126">
        <v>87.876486869489952</v>
      </c>
    </row>
    <row r="127" spans="10:11" x14ac:dyDescent="0.35">
      <c r="J127">
        <f t="shared" si="5"/>
        <v>126</v>
      </c>
      <c r="K127">
        <v>111.76295644993277</v>
      </c>
    </row>
    <row r="128" spans="10:11" x14ac:dyDescent="0.35">
      <c r="J128">
        <f t="shared" si="5"/>
        <v>127</v>
      </c>
      <c r="K128">
        <v>112.17249599298879</v>
      </c>
    </row>
    <row r="129" spans="10:11" x14ac:dyDescent="0.35">
      <c r="J129">
        <f t="shared" si="5"/>
        <v>128</v>
      </c>
      <c r="K129">
        <v>96.501583505012391</v>
      </c>
    </row>
    <row r="130" spans="10:11" x14ac:dyDescent="0.35">
      <c r="J130">
        <f t="shared" si="5"/>
        <v>129</v>
      </c>
      <c r="K130">
        <v>107.82592366042672</v>
      </c>
    </row>
    <row r="131" spans="10:11" x14ac:dyDescent="0.35">
      <c r="J131">
        <f t="shared" si="5"/>
        <v>130</v>
      </c>
      <c r="K131">
        <v>95.18095180843325</v>
      </c>
    </row>
    <row r="132" spans="10:11" x14ac:dyDescent="0.35">
      <c r="J132">
        <f t="shared" ref="J132:J195" si="6">J131+1</f>
        <v>131</v>
      </c>
      <c r="K132">
        <v>103.98089741256479</v>
      </c>
    </row>
    <row r="133" spans="10:11" x14ac:dyDescent="0.35">
      <c r="J133">
        <f t="shared" si="6"/>
        <v>132</v>
      </c>
      <c r="K133">
        <v>81.161977203533112</v>
      </c>
    </row>
    <row r="134" spans="10:11" x14ac:dyDescent="0.35">
      <c r="J134">
        <f t="shared" si="6"/>
        <v>133</v>
      </c>
      <c r="K134">
        <v>98.961417590095863</v>
      </c>
    </row>
    <row r="135" spans="10:11" x14ac:dyDescent="0.35">
      <c r="J135">
        <f t="shared" si="6"/>
        <v>134</v>
      </c>
      <c r="K135">
        <v>115.5974942490931</v>
      </c>
    </row>
    <row r="136" spans="10:11" x14ac:dyDescent="0.35">
      <c r="J136">
        <f t="shared" si="6"/>
        <v>135</v>
      </c>
      <c r="K136">
        <v>102.82603344814498</v>
      </c>
    </row>
    <row r="137" spans="10:11" x14ac:dyDescent="0.35">
      <c r="J137">
        <f t="shared" si="6"/>
        <v>136</v>
      </c>
      <c r="K137">
        <v>92.501665747260901</v>
      </c>
    </row>
    <row r="138" spans="10:11" x14ac:dyDescent="0.35">
      <c r="J138">
        <f t="shared" si="6"/>
        <v>137</v>
      </c>
      <c r="K138">
        <v>96.624145732210991</v>
      </c>
    </row>
    <row r="139" spans="10:11" x14ac:dyDescent="0.35">
      <c r="J139">
        <f t="shared" si="6"/>
        <v>138</v>
      </c>
      <c r="K139">
        <v>120.21845541018197</v>
      </c>
    </row>
    <row r="140" spans="10:11" x14ac:dyDescent="0.35">
      <c r="J140">
        <f t="shared" si="6"/>
        <v>139</v>
      </c>
      <c r="K140">
        <v>88.880085604349404</v>
      </c>
    </row>
    <row r="141" spans="10:11" x14ac:dyDescent="0.35">
      <c r="J141">
        <f t="shared" si="6"/>
        <v>140</v>
      </c>
      <c r="K141">
        <v>86.835994801901833</v>
      </c>
    </row>
    <row r="142" spans="10:11" x14ac:dyDescent="0.35">
      <c r="J142">
        <f t="shared" si="6"/>
        <v>141</v>
      </c>
      <c r="K142">
        <v>80.233206557837121</v>
      </c>
    </row>
    <row r="143" spans="10:11" x14ac:dyDescent="0.35">
      <c r="J143">
        <f t="shared" si="6"/>
        <v>142</v>
      </c>
      <c r="K143">
        <v>88.762451451721105</v>
      </c>
    </row>
    <row r="144" spans="10:11" x14ac:dyDescent="0.35">
      <c r="J144">
        <f t="shared" si="6"/>
        <v>143</v>
      </c>
      <c r="K144">
        <v>106.68269472018775</v>
      </c>
    </row>
    <row r="145" spans="10:11" x14ac:dyDescent="0.35">
      <c r="J145">
        <f t="shared" si="6"/>
        <v>144</v>
      </c>
      <c r="K145">
        <v>104.16628050100103</v>
      </c>
    </row>
    <row r="146" spans="10:11" x14ac:dyDescent="0.35">
      <c r="J146">
        <f t="shared" si="6"/>
        <v>145</v>
      </c>
      <c r="K146">
        <v>87.181148021422899</v>
      </c>
    </row>
    <row r="147" spans="10:11" x14ac:dyDescent="0.35">
      <c r="J147">
        <f t="shared" si="6"/>
        <v>146</v>
      </c>
      <c r="K147">
        <v>93.482985418999547</v>
      </c>
    </row>
    <row r="148" spans="10:11" x14ac:dyDescent="0.35">
      <c r="J148">
        <f t="shared" si="6"/>
        <v>147</v>
      </c>
      <c r="K148">
        <v>104.37562194424477</v>
      </c>
    </row>
    <row r="149" spans="10:11" x14ac:dyDescent="0.35">
      <c r="J149">
        <f t="shared" si="6"/>
        <v>148</v>
      </c>
      <c r="K149">
        <v>86.244340376832497</v>
      </c>
    </row>
    <row r="150" spans="10:11" x14ac:dyDescent="0.35">
      <c r="J150">
        <f t="shared" si="6"/>
        <v>149</v>
      </c>
      <c r="K150">
        <v>93.896028468195084</v>
      </c>
    </row>
    <row r="151" spans="10:11" x14ac:dyDescent="0.35">
      <c r="J151">
        <f t="shared" si="6"/>
        <v>150</v>
      </c>
      <c r="K151">
        <v>104.06111699083598</v>
      </c>
    </row>
    <row r="152" spans="10:11" x14ac:dyDescent="0.35">
      <c r="J152">
        <f t="shared" si="6"/>
        <v>151</v>
      </c>
      <c r="K152">
        <v>100.56250267352618</v>
      </c>
    </row>
    <row r="153" spans="10:11" x14ac:dyDescent="0.35">
      <c r="J153">
        <f t="shared" si="6"/>
        <v>152</v>
      </c>
      <c r="K153">
        <v>101.9247090590638</v>
      </c>
    </row>
    <row r="154" spans="10:11" x14ac:dyDescent="0.35">
      <c r="J154">
        <f t="shared" si="6"/>
        <v>153</v>
      </c>
      <c r="K154">
        <v>78.874234782333929</v>
      </c>
    </row>
    <row r="155" spans="10:11" x14ac:dyDescent="0.35">
      <c r="J155">
        <f t="shared" si="6"/>
        <v>154</v>
      </c>
      <c r="K155">
        <v>107.29963580289582</v>
      </c>
    </row>
    <row r="156" spans="10:11" x14ac:dyDescent="0.35">
      <c r="J156">
        <f t="shared" si="6"/>
        <v>155</v>
      </c>
      <c r="K156">
        <v>90.193522499713893</v>
      </c>
    </row>
    <row r="157" spans="10:11" x14ac:dyDescent="0.35">
      <c r="J157">
        <f t="shared" si="6"/>
        <v>156</v>
      </c>
      <c r="K157">
        <v>90.864033849773193</v>
      </c>
    </row>
    <row r="158" spans="10:11" x14ac:dyDescent="0.35">
      <c r="J158">
        <f t="shared" si="6"/>
        <v>157</v>
      </c>
      <c r="K158">
        <v>87.932689844531765</v>
      </c>
    </row>
    <row r="159" spans="10:11" x14ac:dyDescent="0.35">
      <c r="J159">
        <f t="shared" si="6"/>
        <v>158</v>
      </c>
      <c r="K159">
        <v>97.873468051219277</v>
      </c>
    </row>
    <row r="160" spans="10:11" x14ac:dyDescent="0.35">
      <c r="J160">
        <f t="shared" si="6"/>
        <v>159</v>
      </c>
      <c r="K160">
        <v>103.74852090135039</v>
      </c>
    </row>
    <row r="161" spans="10:11" x14ac:dyDescent="0.35">
      <c r="J161">
        <f t="shared" si="6"/>
        <v>160</v>
      </c>
      <c r="K161">
        <v>128.9804858565935</v>
      </c>
    </row>
    <row r="162" spans="10:11" x14ac:dyDescent="0.35">
      <c r="J162">
        <f t="shared" si="6"/>
        <v>161</v>
      </c>
      <c r="K162">
        <v>86.82143722680668</v>
      </c>
    </row>
    <row r="163" spans="10:11" x14ac:dyDescent="0.35">
      <c r="J163">
        <f t="shared" si="6"/>
        <v>162</v>
      </c>
      <c r="K163">
        <v>105.01041467582824</v>
      </c>
    </row>
    <row r="164" spans="10:11" x14ac:dyDescent="0.35">
      <c r="J164">
        <f t="shared" si="6"/>
        <v>163</v>
      </c>
      <c r="K164">
        <v>85.865313029146591</v>
      </c>
    </row>
    <row r="165" spans="10:11" x14ac:dyDescent="0.35">
      <c r="J165">
        <f t="shared" si="6"/>
        <v>164</v>
      </c>
      <c r="K165">
        <v>87.23259318130961</v>
      </c>
    </row>
    <row r="166" spans="10:11" x14ac:dyDescent="0.35">
      <c r="J166">
        <f t="shared" si="6"/>
        <v>165</v>
      </c>
      <c r="K166">
        <v>111.43409140451203</v>
      </c>
    </row>
    <row r="167" spans="10:11" x14ac:dyDescent="0.35">
      <c r="J167">
        <f t="shared" si="6"/>
        <v>166</v>
      </c>
      <c r="K167">
        <v>95.898813575513486</v>
      </c>
    </row>
    <row r="168" spans="10:11" x14ac:dyDescent="0.35">
      <c r="J168">
        <f t="shared" si="6"/>
        <v>167</v>
      </c>
      <c r="K168">
        <v>100.90635930871443</v>
      </c>
    </row>
    <row r="169" spans="10:11" x14ac:dyDescent="0.35">
      <c r="J169">
        <f t="shared" si="6"/>
        <v>168</v>
      </c>
      <c r="K169">
        <v>93.958201421425315</v>
      </c>
    </row>
    <row r="170" spans="10:11" x14ac:dyDescent="0.35">
      <c r="J170">
        <f t="shared" si="6"/>
        <v>169</v>
      </c>
      <c r="K170">
        <v>89.752838964967282</v>
      </c>
    </row>
    <row r="171" spans="10:11" x14ac:dyDescent="0.35">
      <c r="J171">
        <f t="shared" si="6"/>
        <v>170</v>
      </c>
      <c r="K171">
        <v>99.573041122432628</v>
      </c>
    </row>
    <row r="172" spans="10:11" x14ac:dyDescent="0.35">
      <c r="J172">
        <f t="shared" si="6"/>
        <v>171</v>
      </c>
      <c r="K172">
        <v>96.123911547131996</v>
      </c>
    </row>
    <row r="173" spans="10:11" x14ac:dyDescent="0.35">
      <c r="J173">
        <f t="shared" si="6"/>
        <v>172</v>
      </c>
      <c r="K173">
        <v>92.389421702062222</v>
      </c>
    </row>
    <row r="174" spans="10:11" x14ac:dyDescent="0.35">
      <c r="J174">
        <f t="shared" si="6"/>
        <v>173</v>
      </c>
      <c r="K174">
        <v>79.368605384189991</v>
      </c>
    </row>
    <row r="175" spans="10:11" x14ac:dyDescent="0.35">
      <c r="J175">
        <f t="shared" si="6"/>
        <v>174</v>
      </c>
      <c r="K175">
        <v>98.04224499106644</v>
      </c>
    </row>
    <row r="176" spans="10:11" x14ac:dyDescent="0.35">
      <c r="J176">
        <f t="shared" si="6"/>
        <v>175</v>
      </c>
      <c r="K176">
        <v>95.718123441700143</v>
      </c>
    </row>
    <row r="177" spans="10:11" x14ac:dyDescent="0.35">
      <c r="J177">
        <f t="shared" si="6"/>
        <v>176</v>
      </c>
      <c r="K177">
        <v>88.489192692319861</v>
      </c>
    </row>
    <row r="178" spans="10:11" x14ac:dyDescent="0.35">
      <c r="J178">
        <f t="shared" si="6"/>
        <v>177</v>
      </c>
      <c r="K178">
        <v>122.36430416558464</v>
      </c>
    </row>
    <row r="179" spans="10:11" x14ac:dyDescent="0.35">
      <c r="J179">
        <f t="shared" si="6"/>
        <v>178</v>
      </c>
      <c r="K179">
        <v>97.28582094662228</v>
      </c>
    </row>
    <row r="180" spans="10:11" x14ac:dyDescent="0.35">
      <c r="J180">
        <f t="shared" si="6"/>
        <v>179</v>
      </c>
      <c r="K180">
        <v>88.305873207471791</v>
      </c>
    </row>
    <row r="181" spans="10:11" x14ac:dyDescent="0.35">
      <c r="J181">
        <f t="shared" si="6"/>
        <v>180</v>
      </c>
      <c r="K181">
        <v>95.546830342976165</v>
      </c>
    </row>
    <row r="182" spans="10:11" x14ac:dyDescent="0.35">
      <c r="J182">
        <f t="shared" si="6"/>
        <v>181</v>
      </c>
      <c r="K182">
        <v>114.6468324928607</v>
      </c>
    </row>
    <row r="183" spans="10:11" x14ac:dyDescent="0.35">
      <c r="J183">
        <f t="shared" si="6"/>
        <v>182</v>
      </c>
      <c r="K183">
        <v>115.11065019760937</v>
      </c>
    </row>
    <row r="184" spans="10:11" x14ac:dyDescent="0.35">
      <c r="J184">
        <f t="shared" si="6"/>
        <v>183</v>
      </c>
      <c r="K184">
        <v>110.48413021940526</v>
      </c>
    </row>
    <row r="185" spans="10:11" x14ac:dyDescent="0.35">
      <c r="J185">
        <f t="shared" si="6"/>
        <v>184</v>
      </c>
      <c r="K185">
        <v>113.76816047029524</v>
      </c>
    </row>
    <row r="186" spans="10:11" x14ac:dyDescent="0.35">
      <c r="J186">
        <f t="shared" si="6"/>
        <v>185</v>
      </c>
      <c r="K186">
        <v>104.09042632230356</v>
      </c>
    </row>
    <row r="187" spans="10:11" x14ac:dyDescent="0.35">
      <c r="J187">
        <f t="shared" si="6"/>
        <v>186</v>
      </c>
      <c r="K187">
        <v>90.861509400359836</v>
      </c>
    </row>
    <row r="188" spans="10:11" x14ac:dyDescent="0.35">
      <c r="J188">
        <f t="shared" si="6"/>
        <v>187</v>
      </c>
      <c r="K188">
        <v>100.48751244949004</v>
      </c>
    </row>
    <row r="189" spans="10:11" x14ac:dyDescent="0.35">
      <c r="J189">
        <f t="shared" si="6"/>
        <v>188</v>
      </c>
      <c r="K189">
        <v>109.4049030840486</v>
      </c>
    </row>
    <row r="190" spans="10:11" x14ac:dyDescent="0.35">
      <c r="J190">
        <f t="shared" si="6"/>
        <v>189</v>
      </c>
      <c r="K190">
        <v>96.200271008079469</v>
      </c>
    </row>
    <row r="191" spans="10:11" x14ac:dyDescent="0.35">
      <c r="J191">
        <f t="shared" si="6"/>
        <v>190</v>
      </c>
      <c r="K191">
        <v>100.89730075201234</v>
      </c>
    </row>
    <row r="192" spans="10:11" x14ac:dyDescent="0.35">
      <c r="J192">
        <f t="shared" si="6"/>
        <v>191</v>
      </c>
      <c r="K192">
        <v>104.68178514291095</v>
      </c>
    </row>
    <row r="193" spans="10:11" x14ac:dyDescent="0.35">
      <c r="J193">
        <f t="shared" si="6"/>
        <v>192</v>
      </c>
      <c r="K193">
        <v>87.732112071968771</v>
      </c>
    </row>
    <row r="194" spans="10:11" x14ac:dyDescent="0.35">
      <c r="J194">
        <f t="shared" si="6"/>
        <v>193</v>
      </c>
      <c r="K194">
        <v>94.375084809101111</v>
      </c>
    </row>
    <row r="195" spans="10:11" x14ac:dyDescent="0.35">
      <c r="J195">
        <f t="shared" si="6"/>
        <v>194</v>
      </c>
      <c r="K195">
        <v>111.40923889593688</v>
      </c>
    </row>
    <row r="196" spans="10:11" x14ac:dyDescent="0.35">
      <c r="J196">
        <f t="shared" ref="J196:J201" si="7">J195+1</f>
        <v>195</v>
      </c>
      <c r="K196">
        <v>94.172045158923694</v>
      </c>
    </row>
    <row r="197" spans="10:11" x14ac:dyDescent="0.35">
      <c r="J197">
        <f t="shared" si="7"/>
        <v>196</v>
      </c>
      <c r="K197">
        <v>108.96466854357112</v>
      </c>
    </row>
    <row r="198" spans="10:11" x14ac:dyDescent="0.35">
      <c r="J198">
        <f t="shared" si="7"/>
        <v>197</v>
      </c>
      <c r="K198">
        <v>88.103538816515282</v>
      </c>
    </row>
    <row r="199" spans="10:11" x14ac:dyDescent="0.35">
      <c r="J199">
        <f t="shared" si="7"/>
        <v>198</v>
      </c>
      <c r="K199">
        <v>107.43572833821524</v>
      </c>
    </row>
    <row r="200" spans="10:11" x14ac:dyDescent="0.35">
      <c r="J200">
        <f t="shared" si="7"/>
        <v>199</v>
      </c>
      <c r="K200">
        <v>104.38612108641601</v>
      </c>
    </row>
    <row r="201" spans="10:11" x14ac:dyDescent="0.35">
      <c r="J201">
        <f t="shared" si="7"/>
        <v>200</v>
      </c>
      <c r="K201">
        <v>97.063206150946613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BFBAA-C802-44C5-BA42-E1D16E25DBCA}">
  <dimension ref="A1:P201"/>
  <sheetViews>
    <sheetView workbookViewId="0">
      <selection activeCell="D8" sqref="D8"/>
    </sheetView>
  </sheetViews>
  <sheetFormatPr defaultRowHeight="14.5" x14ac:dyDescent="0.35"/>
  <cols>
    <col min="1" max="1" width="11.36328125" customWidth="1"/>
    <col min="2" max="2" width="13.08984375" customWidth="1"/>
    <col min="3" max="3" width="10.7265625" customWidth="1"/>
    <col min="4" max="4" width="16.26953125" customWidth="1"/>
    <col min="5" max="5" width="13.36328125" customWidth="1"/>
    <col min="6" max="6" width="12.453125" customWidth="1"/>
    <col min="7" max="7" width="12.90625" customWidth="1"/>
    <col min="8" max="8" width="4.6328125" customWidth="1"/>
  </cols>
  <sheetData>
    <row r="1" spans="1:16" x14ac:dyDescent="0.35">
      <c r="A1" t="s">
        <v>15</v>
      </c>
      <c r="B1" t="s">
        <v>16</v>
      </c>
      <c r="C1" t="s">
        <v>17</v>
      </c>
      <c r="D1" t="s">
        <v>18</v>
      </c>
      <c r="F1" t="s">
        <v>19</v>
      </c>
      <c r="G1" t="s">
        <v>20</v>
      </c>
      <c r="H1" t="s">
        <v>10</v>
      </c>
      <c r="K1">
        <f ca="1">$G$2</f>
        <v>109.47550563183526</v>
      </c>
    </row>
    <row r="2" spans="1:16" x14ac:dyDescent="0.35">
      <c r="A2">
        <v>300</v>
      </c>
      <c r="B2">
        <v>0.7</v>
      </c>
      <c r="C2">
        <v>10000</v>
      </c>
      <c r="D2">
        <v>0.3</v>
      </c>
      <c r="G2" cm="1">
        <f t="array" aca="1" ref="G2" ca="1">INDEX(G10:G300, MATCH(TRUE, F10:F300 &gt;= $C$2, 0))</f>
        <v>109.47550563183526</v>
      </c>
      <c r="H2">
        <f>ROW()-1</f>
        <v>1</v>
      </c>
      <c r="J2">
        <f>1</f>
        <v>1</v>
      </c>
      <c r="K2">
        <f t="dataTable" ref="K2:K201" dt2D="0" dtr="0" r1="H2" ca="1"/>
        <v>104.38444330845684</v>
      </c>
      <c r="M2" t="s">
        <v>35</v>
      </c>
      <c r="N2" t="s">
        <v>36</v>
      </c>
      <c r="O2" t="s">
        <v>37</v>
      </c>
      <c r="P2" t="s">
        <v>38</v>
      </c>
    </row>
    <row r="3" spans="1:16" x14ac:dyDescent="0.35">
      <c r="A3" t="s">
        <v>28</v>
      </c>
      <c r="J3">
        <f>J2+1</f>
        <v>2</v>
      </c>
      <c r="K3">
        <v>107.52520203223388</v>
      </c>
      <c r="M3">
        <f>AVERAGE(K2:K201)</f>
        <v>98.265609238708365</v>
      </c>
      <c r="N3">
        <f>MIN(K2:K201)</f>
        <v>88.134988446254724</v>
      </c>
      <c r="O3">
        <f>MAX(K2:K201)</f>
        <v>110.72771775512064</v>
      </c>
      <c r="P3">
        <f>_xlfn.STDEV.P(K2:K201)</f>
        <v>5.0784604158152886</v>
      </c>
    </row>
    <row r="4" spans="1:16" x14ac:dyDescent="0.35">
      <c r="A4" t="s">
        <v>21</v>
      </c>
      <c r="B4" t="s">
        <v>22</v>
      </c>
      <c r="C4" t="s">
        <v>23</v>
      </c>
      <c r="D4" t="s">
        <v>24</v>
      </c>
      <c r="J4">
        <f t="shared" ref="J4:J67" si="0">J3+1</f>
        <v>3</v>
      </c>
      <c r="K4">
        <v>107.40064358552257</v>
      </c>
    </row>
    <row r="5" spans="1:16" x14ac:dyDescent="0.35">
      <c r="A5" t="s">
        <v>25</v>
      </c>
      <c r="B5">
        <v>0.6</v>
      </c>
      <c r="C5">
        <v>150</v>
      </c>
      <c r="D5">
        <v>75</v>
      </c>
      <c r="J5">
        <f t="shared" si="0"/>
        <v>4</v>
      </c>
      <c r="K5">
        <v>107.47144809924414</v>
      </c>
    </row>
    <row r="6" spans="1:16" x14ac:dyDescent="0.35">
      <c r="A6" t="s">
        <v>26</v>
      </c>
      <c r="B6">
        <v>0.3</v>
      </c>
      <c r="C6">
        <v>500</v>
      </c>
      <c r="D6">
        <v>200</v>
      </c>
      <c r="J6">
        <f t="shared" si="0"/>
        <v>5</v>
      </c>
      <c r="K6">
        <v>107.15439699314501</v>
      </c>
    </row>
    <row r="7" spans="1:16" x14ac:dyDescent="0.35">
      <c r="A7" t="s">
        <v>27</v>
      </c>
      <c r="B7">
        <v>0.1</v>
      </c>
      <c r="C7">
        <v>1000</v>
      </c>
      <c r="D7">
        <v>500</v>
      </c>
      <c r="J7">
        <f t="shared" si="0"/>
        <v>6</v>
      </c>
      <c r="K7">
        <v>107.41116162209158</v>
      </c>
    </row>
    <row r="8" spans="1:16" x14ac:dyDescent="0.35">
      <c r="J8">
        <f t="shared" si="0"/>
        <v>7</v>
      </c>
      <c r="K8">
        <v>110.72771775512064</v>
      </c>
    </row>
    <row r="9" spans="1:16" x14ac:dyDescent="0.35">
      <c r="A9" t="s">
        <v>29</v>
      </c>
      <c r="B9" t="s">
        <v>23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J9">
        <f t="shared" si="0"/>
        <v>8</v>
      </c>
      <c r="K9">
        <v>105.16282698897187</v>
      </c>
    </row>
    <row r="10" spans="1:16" x14ac:dyDescent="0.35">
      <c r="A10" t="str">
        <f ca="1">_xlfn.LET(_xlpm.r, RAND()+ROW()/100000 + $H$2/1000 + $H$2/1000,
 IF(_xlpm.r&lt;$B$5,"Small",
 IF(_xlpm.r&lt;$B$5+$B$6,"Medium","Large")))</f>
        <v>Small</v>
      </c>
      <c r="B10">
        <f ca="1">IF(A10="Small",$C$5,IF(A10="Medium",$C$6,$C$7))</f>
        <v>150</v>
      </c>
      <c r="C10">
        <f ca="1">IF(A10="Small",$D$5,IF(A10="Medium",$D$6,$D$7))</f>
        <v>75</v>
      </c>
      <c r="D10">
        <f ca="1">$B$2 * (1 - $D$2/2 + (RAND()+ROW()/100000 + $H$2/1000 + $H$2/1000) * $D$2)</f>
        <v>0.77928284220924726</v>
      </c>
      <c r="E10">
        <f ca="1">B10 / ($A$2 * D10)</f>
        <v>0.6416155635898676</v>
      </c>
      <c r="F10">
        <f ca="1">C10</f>
        <v>75</v>
      </c>
      <c r="G10">
        <f ca="1">E10</f>
        <v>0.6416155635898676</v>
      </c>
      <c r="J10">
        <f t="shared" si="0"/>
        <v>9</v>
      </c>
      <c r="K10">
        <v>106.35805935819599</v>
      </c>
    </row>
    <row r="11" spans="1:16" x14ac:dyDescent="0.35">
      <c r="A11" t="str">
        <f ca="1">_xlfn.LET(_xlpm.r, RAND()+ROW()/100000 + $H$2/1000 + $H$2/1000,
 IF(_xlpm.r&lt;$B$5,"Small",
 IF(_xlpm.r&lt;$B$5+$B$6,"Medium","Large")))</f>
        <v>Small</v>
      </c>
      <c r="B11">
        <f ca="1">IF(A11="Small",$C$5,IF(A11="Medium",$C$6,$C$7))</f>
        <v>150</v>
      </c>
      <c r="C11">
        <f ca="1">IF(A11="Small",$D$5,IF(A11="Medium",$D$6,$D$7))</f>
        <v>75</v>
      </c>
      <c r="D11">
        <f ca="1">$B$2 * (1 - $D$2/2 + (RAND()+ROW()/100000 + $H$2/1000 + $H$2/1000) * $D$2)</f>
        <v>0.69344738620107949</v>
      </c>
      <c r="E11">
        <f ca="1">B11 / ($A$2 * D11)</f>
        <v>0.72103523634165745</v>
      </c>
      <c r="F11">
        <f ca="1">F10 + C11</f>
        <v>150</v>
      </c>
      <c r="G11">
        <f ca="1">G10 + E11</f>
        <v>1.3626507999315249</v>
      </c>
      <c r="J11">
        <f t="shared" si="0"/>
        <v>10</v>
      </c>
      <c r="K11">
        <v>106.58567847931523</v>
      </c>
    </row>
    <row r="12" spans="1:16" x14ac:dyDescent="0.35">
      <c r="A12" t="str">
        <f ca="1">_xlfn.LET(_xlpm.r, RAND()+ROW()/100000 + $H$2/1000 + $H$2/1000,
 IF(_xlpm.r&lt;$B$5,"Small",
 IF(_xlpm.r&lt;$B$5+$B$6,"Medium","Large")))</f>
        <v>Small</v>
      </c>
      <c r="B12">
        <f t="shared" ref="B12:B75" ca="1" si="1">IF(A12="Small",$C$5,IF(A12="Medium",$C$6,$C$7))</f>
        <v>150</v>
      </c>
      <c r="C12">
        <f t="shared" ref="C12:C18" ca="1" si="2">IF(A12="Small",$D$5,IF(A12="Medium",$D$6,$D$7))</f>
        <v>75</v>
      </c>
      <c r="D12">
        <f ca="1">$B$2 * (1 - $D$2/2 + (RAND()+ROW()/100000 + $H$2/1000 + $H$2/1000) * $D$2)</f>
        <v>0.73418968471995461</v>
      </c>
      <c r="E12">
        <f t="shared" ref="E12:E18" ca="1" si="3">B12 / ($A$2 * D12)</f>
        <v>0.68102291602028886</v>
      </c>
      <c r="F12">
        <f t="shared" ref="F12:F18" ca="1" si="4">F11 + C12</f>
        <v>225</v>
      </c>
      <c r="G12">
        <f t="shared" ref="G12:G18" ca="1" si="5">G11 + E12</f>
        <v>2.0436737159518139</v>
      </c>
      <c r="J12">
        <f t="shared" si="0"/>
        <v>11</v>
      </c>
      <c r="K12">
        <v>102.85691470597041</v>
      </c>
    </row>
    <row r="13" spans="1:16" x14ac:dyDescent="0.35">
      <c r="A13" t="str">
        <f ca="1">_xlfn.LET(_xlpm.r, RAND()+ROW()/100000 + $H$2/1000 + $H$2/1000,
 IF(_xlpm.r&lt;$B$5,"Small",
 IF(_xlpm.r&lt;$B$5+$B$6,"Medium","Large")))</f>
        <v>Small</v>
      </c>
      <c r="B13">
        <f t="shared" ca="1" si="1"/>
        <v>150</v>
      </c>
      <c r="C13">
        <f t="shared" ca="1" si="2"/>
        <v>75</v>
      </c>
      <c r="D13">
        <f ca="1">$B$2 * (1 - $D$2/2 + (RAND()+ROW()/100000 + $H$2/1000 + $H$2/1000) * $D$2)</f>
        <v>0.69278550501913894</v>
      </c>
      <c r="E13">
        <f t="shared" ca="1" si="3"/>
        <v>0.72172410706858969</v>
      </c>
      <c r="F13">
        <f t="shared" ca="1" si="4"/>
        <v>300</v>
      </c>
      <c r="G13">
        <f t="shared" ca="1" si="5"/>
        <v>2.7653978230204035</v>
      </c>
      <c r="J13">
        <f t="shared" si="0"/>
        <v>12</v>
      </c>
      <c r="K13">
        <v>105.07338584977921</v>
      </c>
    </row>
    <row r="14" spans="1:16" x14ac:dyDescent="0.35">
      <c r="A14" t="str">
        <f ca="1">_xlfn.LET(_xlpm.r, RAND()+ROW()/100000 + $H$2/1000 + $H$2/1000,
 IF(_xlpm.r&lt;$B$5,"Small",
 IF(_xlpm.r&lt;$B$5+$B$6,"Medium","Large")))</f>
        <v>Large</v>
      </c>
      <c r="B14">
        <f t="shared" ca="1" si="1"/>
        <v>1000</v>
      </c>
      <c r="C14">
        <f t="shared" ca="1" si="2"/>
        <v>500</v>
      </c>
      <c r="D14">
        <f ca="1">$B$2 * (1 - $D$2/2 + (RAND()+ROW()/100000 + $H$2/1000 + $H$2/1000) * $D$2)</f>
        <v>0.804056669685279</v>
      </c>
      <c r="E14">
        <f t="shared" ca="1" si="3"/>
        <v>4.1456447772991609</v>
      </c>
      <c r="F14">
        <f t="shared" ca="1" si="4"/>
        <v>800</v>
      </c>
      <c r="G14">
        <f t="shared" ca="1" si="5"/>
        <v>6.9110426003195649</v>
      </c>
      <c r="J14">
        <f t="shared" si="0"/>
        <v>13</v>
      </c>
      <c r="K14">
        <v>102.37602497788632</v>
      </c>
    </row>
    <row r="15" spans="1:16" x14ac:dyDescent="0.35">
      <c r="A15" t="str">
        <f ca="1">_xlfn.LET(_xlpm.r, RAND()+ROW()/100000 + $H$2/1000 + $H$2/1000,
 IF(_xlpm.r&lt;$B$5,"Small",
 IF(_xlpm.r&lt;$B$5+$B$6,"Medium","Large")))</f>
        <v>Small</v>
      </c>
      <c r="B15">
        <f t="shared" ca="1" si="1"/>
        <v>150</v>
      </c>
      <c r="C15">
        <f t="shared" ca="1" si="2"/>
        <v>75</v>
      </c>
      <c r="D15">
        <f ca="1">$B$2 * (1 - $D$2/2 + (RAND()+ROW()/100000 + $H$2/1000 + $H$2/1000) * $D$2)</f>
        <v>0.63319026480869911</v>
      </c>
      <c r="E15">
        <f t="shared" ca="1" si="3"/>
        <v>0.78965206477244421</v>
      </c>
      <c r="F15">
        <f t="shared" ca="1" si="4"/>
        <v>875</v>
      </c>
      <c r="G15">
        <f t="shared" ca="1" si="5"/>
        <v>7.7006946650920094</v>
      </c>
      <c r="J15">
        <f t="shared" si="0"/>
        <v>14</v>
      </c>
      <c r="K15">
        <v>107.64741241549859</v>
      </c>
    </row>
    <row r="16" spans="1:16" x14ac:dyDescent="0.35">
      <c r="A16" t="str">
        <f ca="1">_xlfn.LET(_xlpm.r, RAND()+ROW()/100000 + $H$2/1000 + $H$2/1000,
 IF(_xlpm.r&lt;$B$5,"Small",
 IF(_xlpm.r&lt;$B$5+$B$6,"Medium","Large")))</f>
        <v>Small</v>
      </c>
      <c r="B16">
        <f t="shared" ca="1" si="1"/>
        <v>150</v>
      </c>
      <c r="C16">
        <f t="shared" ca="1" si="2"/>
        <v>75</v>
      </c>
      <c r="D16">
        <f ca="1">$B$2 * (1 - $D$2/2 + (RAND()+ROW()/100000 + $H$2/1000 + $H$2/1000) * $D$2)</f>
        <v>0.70943017566042044</v>
      </c>
      <c r="E16">
        <f t="shared" ca="1" si="3"/>
        <v>0.70479099586445082</v>
      </c>
      <c r="F16">
        <f t="shared" ca="1" si="4"/>
        <v>950</v>
      </c>
      <c r="G16">
        <f t="shared" ca="1" si="5"/>
        <v>8.4054856609564599</v>
      </c>
      <c r="J16">
        <f t="shared" si="0"/>
        <v>15</v>
      </c>
      <c r="K16">
        <v>105.28277328023552</v>
      </c>
    </row>
    <row r="17" spans="1:11" x14ac:dyDescent="0.35">
      <c r="A17" t="str">
        <f ca="1">_xlfn.LET(_xlpm.r, RAND()+ROW()/100000 + $H$2/1000 + $H$2/1000,
 IF(_xlpm.r&lt;$B$5,"Small",
 IF(_xlpm.r&lt;$B$5+$B$6,"Medium","Large")))</f>
        <v>Small</v>
      </c>
      <c r="B17">
        <f t="shared" ca="1" si="1"/>
        <v>150</v>
      </c>
      <c r="C17">
        <f t="shared" ca="1" si="2"/>
        <v>75</v>
      </c>
      <c r="D17">
        <f ca="1">$B$2 * (1 - $D$2/2 + (RAND()+ROW()/100000 + $H$2/1000 + $H$2/1000) * $D$2)</f>
        <v>0.72215773784585058</v>
      </c>
      <c r="E17">
        <f t="shared" ca="1" si="3"/>
        <v>0.6923695112531334</v>
      </c>
      <c r="F17">
        <f t="shared" ca="1" si="4"/>
        <v>1025</v>
      </c>
      <c r="G17">
        <f t="shared" ca="1" si="5"/>
        <v>9.0978551722095933</v>
      </c>
      <c r="J17">
        <f t="shared" si="0"/>
        <v>16</v>
      </c>
      <c r="K17">
        <v>104.0835998591272</v>
      </c>
    </row>
    <row r="18" spans="1:11" x14ac:dyDescent="0.35">
      <c r="A18" t="str">
        <f ca="1">_xlfn.LET(_xlpm.r, RAND()+ROW()/100000 + $H$2/1000 + $H$2/1000,
 IF(_xlpm.r&lt;$B$5,"Small",
 IF(_xlpm.r&lt;$B$5+$B$6,"Medium","Large")))</f>
        <v>Small</v>
      </c>
      <c r="B18">
        <f t="shared" ca="1" si="1"/>
        <v>150</v>
      </c>
      <c r="C18">
        <f t="shared" ca="1" si="2"/>
        <v>75</v>
      </c>
      <c r="D18">
        <f ca="1">$B$2 * (1 - $D$2/2 + (RAND()+ROW()/100000 + $H$2/1000 + $H$2/1000) * $D$2)</f>
        <v>0.78044183494240849</v>
      </c>
      <c r="E18">
        <f t="shared" ca="1" si="3"/>
        <v>0.64066273438160415</v>
      </c>
      <c r="F18">
        <f t="shared" ca="1" si="4"/>
        <v>1100</v>
      </c>
      <c r="G18">
        <f t="shared" ca="1" si="5"/>
        <v>9.7385179065911966</v>
      </c>
      <c r="J18">
        <f t="shared" si="0"/>
        <v>17</v>
      </c>
      <c r="K18">
        <v>106.12007474198975</v>
      </c>
    </row>
    <row r="19" spans="1:11" x14ac:dyDescent="0.35">
      <c r="A19" t="str">
        <f ca="1">_xlfn.LET(_xlpm.r, RAND()+ROW()/100000 + $H$2/1000 + $H$2/1000,
 IF(_xlpm.r&lt;$B$5,"Small",
 IF(_xlpm.r&lt;$B$5+$B$6,"Medium","Large")))</f>
        <v>Large</v>
      </c>
      <c r="B19">
        <f t="shared" ca="1" si="1"/>
        <v>1000</v>
      </c>
      <c r="C19">
        <f t="shared" ref="C19:C82" ca="1" si="6">IF(A19="Small",$D$5,IF(A19="Medium",$D$6,$D$7))</f>
        <v>500</v>
      </c>
      <c r="D19">
        <f ca="1">$B$2 * (1 - $D$2/2 + (RAND()+ROW()/100000 + $H$2/1000 + $H$2/1000) * $D$2)</f>
        <v>0.66406776200861894</v>
      </c>
      <c r="E19">
        <f t="shared" ref="E19:E82" ca="1" si="7">B19 / ($A$2 * D19)</f>
        <v>5.0195680682509476</v>
      </c>
      <c r="F19">
        <f t="shared" ref="F19:F82" ca="1" si="8">F18 + C19</f>
        <v>1600</v>
      </c>
      <c r="G19">
        <f t="shared" ref="G19:G82" ca="1" si="9">G18 + E19</f>
        <v>14.758085974842144</v>
      </c>
      <c r="J19">
        <f t="shared" si="0"/>
        <v>18</v>
      </c>
      <c r="K19">
        <v>108.00753991511337</v>
      </c>
    </row>
    <row r="20" spans="1:11" x14ac:dyDescent="0.35">
      <c r="A20" t="str">
        <f ca="1">_xlfn.LET(_xlpm.r, RAND()+ROW()/100000 + $H$2/1000 + $H$2/1000,
 IF(_xlpm.r&lt;$B$5,"Small",
 IF(_xlpm.r&lt;$B$5+$B$6,"Medium","Large")))</f>
        <v>Medium</v>
      </c>
      <c r="B20">
        <f t="shared" ca="1" si="1"/>
        <v>500</v>
      </c>
      <c r="C20">
        <f t="shared" ca="1" si="6"/>
        <v>200</v>
      </c>
      <c r="D20">
        <f ca="1">$B$2 * (1 - $D$2/2 + (RAND()+ROW()/100000 + $H$2/1000 + $H$2/1000) * $D$2)</f>
        <v>0.71157552783763067</v>
      </c>
      <c r="E20">
        <f t="shared" ca="1" si="7"/>
        <v>2.342220328643696</v>
      </c>
      <c r="F20">
        <f t="shared" ca="1" si="8"/>
        <v>1800</v>
      </c>
      <c r="G20">
        <f t="shared" ca="1" si="9"/>
        <v>17.100306303485841</v>
      </c>
      <c r="J20">
        <f t="shared" si="0"/>
        <v>19</v>
      </c>
      <c r="K20">
        <v>107.43997092571442</v>
      </c>
    </row>
    <row r="21" spans="1:11" x14ac:dyDescent="0.35">
      <c r="A21" t="str">
        <f ca="1">_xlfn.LET(_xlpm.r, RAND()+ROW()/100000 + $H$2/1000 + $H$2/1000,
 IF(_xlpm.r&lt;$B$5,"Small",
 IF(_xlpm.r&lt;$B$5+$B$6,"Medium","Large")))</f>
        <v>Small</v>
      </c>
      <c r="B21">
        <f t="shared" ca="1" si="1"/>
        <v>150</v>
      </c>
      <c r="C21">
        <f t="shared" ca="1" si="6"/>
        <v>75</v>
      </c>
      <c r="D21">
        <f ca="1">$B$2 * (1 - $D$2/2 + (RAND()+ROW()/100000 + $H$2/1000 + $H$2/1000) * $D$2)</f>
        <v>0.61573799207848323</v>
      </c>
      <c r="E21">
        <f t="shared" ca="1" si="7"/>
        <v>0.8120337001005925</v>
      </c>
      <c r="F21">
        <f t="shared" ca="1" si="8"/>
        <v>1875</v>
      </c>
      <c r="G21">
        <f t="shared" ca="1" si="9"/>
        <v>17.912340003586433</v>
      </c>
      <c r="J21">
        <f t="shared" si="0"/>
        <v>20</v>
      </c>
      <c r="K21">
        <v>102.94997696234674</v>
      </c>
    </row>
    <row r="22" spans="1:11" x14ac:dyDescent="0.35">
      <c r="A22" t="str">
        <f ca="1">_xlfn.LET(_xlpm.r, RAND()+ROW()/100000 + $H$2/1000 + $H$2/1000,
 IF(_xlpm.r&lt;$B$5,"Small",
 IF(_xlpm.r&lt;$B$5+$B$6,"Medium","Large")))</f>
        <v>Medium</v>
      </c>
      <c r="B22">
        <f t="shared" ca="1" si="1"/>
        <v>500</v>
      </c>
      <c r="C22">
        <f t="shared" ca="1" si="6"/>
        <v>200</v>
      </c>
      <c r="D22">
        <f ca="1">$B$2 * (1 - $D$2/2 + (RAND()+ROW()/100000 + $H$2/1000 + $H$2/1000) * $D$2)</f>
        <v>0.66837071537995074</v>
      </c>
      <c r="E22">
        <f t="shared" ca="1" si="7"/>
        <v>2.4936261094551568</v>
      </c>
      <c r="F22">
        <f t="shared" ca="1" si="8"/>
        <v>2075</v>
      </c>
      <c r="G22">
        <f t="shared" ca="1" si="9"/>
        <v>20.40596611304159</v>
      </c>
      <c r="J22">
        <f t="shared" si="0"/>
        <v>21</v>
      </c>
      <c r="K22">
        <v>106.02035464595727</v>
      </c>
    </row>
    <row r="23" spans="1:11" x14ac:dyDescent="0.35">
      <c r="A23" t="str">
        <f ca="1">_xlfn.LET(_xlpm.r, RAND()+ROW()/100000 + $H$2/1000 + $H$2/1000,
 IF(_xlpm.r&lt;$B$5,"Small",
 IF(_xlpm.r&lt;$B$5+$B$6,"Medium","Large")))</f>
        <v>Small</v>
      </c>
      <c r="B23">
        <f t="shared" ca="1" si="1"/>
        <v>150</v>
      </c>
      <c r="C23">
        <f t="shared" ca="1" si="6"/>
        <v>75</v>
      </c>
      <c r="D23">
        <f ca="1">$B$2 * (1 - $D$2/2 + (RAND()+ROW()/100000 + $H$2/1000 + $H$2/1000) * $D$2)</f>
        <v>0.59872159714504813</v>
      </c>
      <c r="E23">
        <f t="shared" ca="1" si="7"/>
        <v>0.83511268406586048</v>
      </c>
      <c r="F23">
        <f t="shared" ca="1" si="8"/>
        <v>2150</v>
      </c>
      <c r="G23">
        <f t="shared" ca="1" si="9"/>
        <v>21.241078797107448</v>
      </c>
      <c r="J23">
        <f t="shared" si="0"/>
        <v>22</v>
      </c>
      <c r="K23">
        <v>107.36167890421358</v>
      </c>
    </row>
    <row r="24" spans="1:11" x14ac:dyDescent="0.35">
      <c r="A24" t="str">
        <f ca="1">_xlfn.LET(_xlpm.r, RAND()+ROW()/100000 + $H$2/1000 + $H$2/1000,
 IF(_xlpm.r&lt;$B$5,"Small",
 IF(_xlpm.r&lt;$B$5+$B$6,"Medium","Large")))</f>
        <v>Small</v>
      </c>
      <c r="B24">
        <f t="shared" ca="1" si="1"/>
        <v>150</v>
      </c>
      <c r="C24">
        <f t="shared" ca="1" si="6"/>
        <v>75</v>
      </c>
      <c r="D24">
        <f ca="1">$B$2 * (1 - $D$2/2 + (RAND()+ROW()/100000 + $H$2/1000 + $H$2/1000) * $D$2)</f>
        <v>0.66055305586954027</v>
      </c>
      <c r="E24">
        <f t="shared" ca="1" si="7"/>
        <v>0.75694146830008824</v>
      </c>
      <c r="F24">
        <f t="shared" ca="1" si="8"/>
        <v>2225</v>
      </c>
      <c r="G24">
        <f t="shared" ca="1" si="9"/>
        <v>21.998020265407536</v>
      </c>
      <c r="J24">
        <f t="shared" si="0"/>
        <v>23</v>
      </c>
      <c r="K24">
        <v>103.35693075646959</v>
      </c>
    </row>
    <row r="25" spans="1:11" x14ac:dyDescent="0.35">
      <c r="A25" t="str">
        <f ca="1">_xlfn.LET(_xlpm.r, RAND()+ROW()/100000 + $H$2/1000 + $H$2/1000,
 IF(_xlpm.r&lt;$B$5,"Small",
 IF(_xlpm.r&lt;$B$5+$B$6,"Medium","Large")))</f>
        <v>Small</v>
      </c>
      <c r="B25">
        <f t="shared" ca="1" si="1"/>
        <v>150</v>
      </c>
      <c r="C25">
        <f t="shared" ca="1" si="6"/>
        <v>75</v>
      </c>
      <c r="D25">
        <f ca="1">$B$2 * (1 - $D$2/2 + (RAND()+ROW()/100000 + $H$2/1000 + $H$2/1000) * $D$2)</f>
        <v>0.774220741307731</v>
      </c>
      <c r="E25">
        <f t="shared" ca="1" si="7"/>
        <v>0.64581064975791458</v>
      </c>
      <c r="F25">
        <f t="shared" ca="1" si="8"/>
        <v>2300</v>
      </c>
      <c r="G25">
        <f t="shared" ca="1" si="9"/>
        <v>22.643830915165452</v>
      </c>
      <c r="J25">
        <f t="shared" si="0"/>
        <v>24</v>
      </c>
      <c r="K25">
        <v>104.86696317139906</v>
      </c>
    </row>
    <row r="26" spans="1:11" x14ac:dyDescent="0.35">
      <c r="A26" t="str">
        <f ca="1">_xlfn.LET(_xlpm.r, RAND()+ROW()/100000 + $H$2/1000 + $H$2/1000,
 IF(_xlpm.r&lt;$B$5,"Small",
 IF(_xlpm.r&lt;$B$5+$B$6,"Medium","Large")))</f>
        <v>Small</v>
      </c>
      <c r="B26">
        <f t="shared" ca="1" si="1"/>
        <v>150</v>
      </c>
      <c r="C26">
        <f t="shared" ca="1" si="6"/>
        <v>75</v>
      </c>
      <c r="D26">
        <f ca="1">$B$2 * (1 - $D$2/2 + (RAND()+ROW()/100000 + $H$2/1000 + $H$2/1000) * $D$2)</f>
        <v>0.65535224386605406</v>
      </c>
      <c r="E26">
        <f t="shared" ca="1" si="7"/>
        <v>0.76294848256015724</v>
      </c>
      <c r="F26">
        <f t="shared" ca="1" si="8"/>
        <v>2375</v>
      </c>
      <c r="G26">
        <f t="shared" ca="1" si="9"/>
        <v>23.406779397725611</v>
      </c>
      <c r="J26">
        <f t="shared" si="0"/>
        <v>25</v>
      </c>
      <c r="K26">
        <v>104.56792602974272</v>
      </c>
    </row>
    <row r="27" spans="1:11" x14ac:dyDescent="0.35">
      <c r="A27" t="str">
        <f ca="1">_xlfn.LET(_xlpm.r, RAND()+ROW()/100000 + $H$2/1000 + $H$2/1000,
 IF(_xlpm.r&lt;$B$5,"Small",
 IF(_xlpm.r&lt;$B$5+$B$6,"Medium","Large")))</f>
        <v>Medium</v>
      </c>
      <c r="B27">
        <f t="shared" ca="1" si="1"/>
        <v>500</v>
      </c>
      <c r="C27">
        <f t="shared" ca="1" si="6"/>
        <v>200</v>
      </c>
      <c r="D27">
        <f ca="1">$B$2 * (1 - $D$2/2 + (RAND()+ROW()/100000 + $H$2/1000 + $H$2/1000) * $D$2)</f>
        <v>0.79213315389329653</v>
      </c>
      <c r="E27">
        <f t="shared" ca="1" si="7"/>
        <v>2.1040233683883569</v>
      </c>
      <c r="F27">
        <f t="shared" ca="1" si="8"/>
        <v>2575</v>
      </c>
      <c r="G27">
        <f t="shared" ca="1" si="9"/>
        <v>25.510802766113969</v>
      </c>
      <c r="J27">
        <f t="shared" si="0"/>
        <v>26</v>
      </c>
      <c r="K27">
        <v>103.91207575673707</v>
      </c>
    </row>
    <row r="28" spans="1:11" x14ac:dyDescent="0.35">
      <c r="A28" t="str">
        <f ca="1">_xlfn.LET(_xlpm.r, RAND()+ROW()/100000 + $H$2/1000 + $H$2/1000,
 IF(_xlpm.r&lt;$B$5,"Small",
 IF(_xlpm.r&lt;$B$5+$B$6,"Medium","Large")))</f>
        <v>Large</v>
      </c>
      <c r="B28">
        <f t="shared" ca="1" si="1"/>
        <v>1000</v>
      </c>
      <c r="C28">
        <f t="shared" ca="1" si="6"/>
        <v>500</v>
      </c>
      <c r="D28">
        <f ca="1">$B$2 * (1 - $D$2/2 + (RAND()+ROW()/100000 + $H$2/1000 + $H$2/1000) * $D$2)</f>
        <v>0.76743215731418268</v>
      </c>
      <c r="E28">
        <f t="shared" ca="1" si="7"/>
        <v>4.3434892603395099</v>
      </c>
      <c r="F28">
        <f t="shared" ca="1" si="8"/>
        <v>3075</v>
      </c>
      <c r="G28">
        <f t="shared" ca="1" si="9"/>
        <v>29.854292026453479</v>
      </c>
      <c r="J28">
        <f t="shared" si="0"/>
        <v>27</v>
      </c>
      <c r="K28">
        <v>100.90416825263419</v>
      </c>
    </row>
    <row r="29" spans="1:11" x14ac:dyDescent="0.35">
      <c r="A29" t="str">
        <f ca="1">_xlfn.LET(_xlpm.r, RAND()+ROW()/100000 + $H$2/1000 + $H$2/1000,
 IF(_xlpm.r&lt;$B$5,"Small",
 IF(_xlpm.r&lt;$B$5+$B$6,"Medium","Large")))</f>
        <v>Large</v>
      </c>
      <c r="B29">
        <f t="shared" ca="1" si="1"/>
        <v>1000</v>
      </c>
      <c r="C29">
        <f t="shared" ca="1" si="6"/>
        <v>500</v>
      </c>
      <c r="D29">
        <f ca="1">$B$2 * (1 - $D$2/2 + (RAND()+ROW()/100000 + $H$2/1000 + $H$2/1000) * $D$2)</f>
        <v>0.64170913534606</v>
      </c>
      <c r="E29">
        <f t="shared" ca="1" si="7"/>
        <v>5.1944613996117388</v>
      </c>
      <c r="F29">
        <f t="shared" ca="1" si="8"/>
        <v>3575</v>
      </c>
      <c r="G29">
        <f t="shared" ca="1" si="9"/>
        <v>35.048753426065218</v>
      </c>
      <c r="J29">
        <f t="shared" si="0"/>
        <v>28</v>
      </c>
      <c r="K29">
        <v>105.40474103340811</v>
      </c>
    </row>
    <row r="30" spans="1:11" x14ac:dyDescent="0.35">
      <c r="A30" t="str">
        <f ca="1">_xlfn.LET(_xlpm.r, RAND()+ROW()/100000 + $H$2/1000 + $H$2/1000,
 IF(_xlpm.r&lt;$B$5,"Small",
 IF(_xlpm.r&lt;$B$5+$B$6,"Medium","Large")))</f>
        <v>Medium</v>
      </c>
      <c r="B30">
        <f t="shared" ca="1" si="1"/>
        <v>500</v>
      </c>
      <c r="C30">
        <f t="shared" ca="1" si="6"/>
        <v>200</v>
      </c>
      <c r="D30">
        <f ca="1">$B$2 * (1 - $D$2/2 + (RAND()+ROW()/100000 + $H$2/1000 + $H$2/1000) * $D$2)</f>
        <v>0.72824910673938648</v>
      </c>
      <c r="E30">
        <f t="shared" ca="1" si="7"/>
        <v>2.2885941791660929</v>
      </c>
      <c r="F30">
        <f t="shared" ca="1" si="8"/>
        <v>3775</v>
      </c>
      <c r="G30">
        <f t="shared" ca="1" si="9"/>
        <v>37.337347605231308</v>
      </c>
      <c r="J30">
        <f t="shared" si="0"/>
        <v>29</v>
      </c>
      <c r="K30">
        <v>99.99843918155149</v>
      </c>
    </row>
    <row r="31" spans="1:11" x14ac:dyDescent="0.35">
      <c r="A31" t="str">
        <f ca="1">_xlfn.LET(_xlpm.r, RAND()+ROW()/100000 + $H$2/1000 + $H$2/1000,
 IF(_xlpm.r&lt;$B$5,"Small",
 IF(_xlpm.r&lt;$B$5+$B$6,"Medium","Large")))</f>
        <v>Small</v>
      </c>
      <c r="B31">
        <f t="shared" ca="1" si="1"/>
        <v>150</v>
      </c>
      <c r="C31">
        <f t="shared" ca="1" si="6"/>
        <v>75</v>
      </c>
      <c r="D31">
        <f ca="1">$B$2 * (1 - $D$2/2 + (RAND()+ROW()/100000 + $H$2/1000 + $H$2/1000) * $D$2)</f>
        <v>0.60115811344163839</v>
      </c>
      <c r="E31">
        <f t="shared" ca="1" si="7"/>
        <v>0.83172794115260817</v>
      </c>
      <c r="F31">
        <f t="shared" ca="1" si="8"/>
        <v>3850</v>
      </c>
      <c r="G31">
        <f t="shared" ca="1" si="9"/>
        <v>38.169075546383915</v>
      </c>
      <c r="J31">
        <f t="shared" si="0"/>
        <v>30</v>
      </c>
      <c r="K31">
        <v>104.54176883707332</v>
      </c>
    </row>
    <row r="32" spans="1:11" x14ac:dyDescent="0.35">
      <c r="A32" t="str">
        <f ca="1">_xlfn.LET(_xlpm.r, RAND()+ROW()/100000 + $H$2/1000 + $H$2/1000,
 IF(_xlpm.r&lt;$B$5,"Small",
 IF(_xlpm.r&lt;$B$5+$B$6,"Medium","Large")))</f>
        <v>Medium</v>
      </c>
      <c r="B32">
        <f t="shared" ca="1" si="1"/>
        <v>500</v>
      </c>
      <c r="C32">
        <f t="shared" ca="1" si="6"/>
        <v>200</v>
      </c>
      <c r="D32">
        <f ca="1">$B$2 * (1 - $D$2/2 + (RAND()+ROW()/100000 + $H$2/1000 + $H$2/1000) * $D$2)</f>
        <v>0.5956115885230534</v>
      </c>
      <c r="E32">
        <f t="shared" ca="1" si="7"/>
        <v>2.7982441893038446</v>
      </c>
      <c r="F32">
        <f t="shared" ca="1" si="8"/>
        <v>4050</v>
      </c>
      <c r="G32">
        <f t="shared" ca="1" si="9"/>
        <v>40.967319735687759</v>
      </c>
      <c r="J32">
        <f t="shared" si="0"/>
        <v>31</v>
      </c>
      <c r="K32">
        <v>103.86461454958047</v>
      </c>
    </row>
    <row r="33" spans="1:11" x14ac:dyDescent="0.35">
      <c r="A33" t="str">
        <f ca="1">_xlfn.LET(_xlpm.r, RAND()+ROW()/100000 + $H$2/1000 + $H$2/1000,
 IF(_xlpm.r&lt;$B$5,"Small",
 IF(_xlpm.r&lt;$B$5+$B$6,"Medium","Large")))</f>
        <v>Medium</v>
      </c>
      <c r="B33">
        <f t="shared" ca="1" si="1"/>
        <v>500</v>
      </c>
      <c r="C33">
        <f t="shared" ca="1" si="6"/>
        <v>200</v>
      </c>
      <c r="D33">
        <f ca="1">$B$2 * (1 - $D$2/2 + (RAND()+ROW()/100000 + $H$2/1000 + $H$2/1000) * $D$2)</f>
        <v>0.64342614218236061</v>
      </c>
      <c r="E33">
        <f t="shared" ca="1" si="7"/>
        <v>2.5902998920959259</v>
      </c>
      <c r="F33">
        <f t="shared" ca="1" si="8"/>
        <v>4250</v>
      </c>
      <c r="G33">
        <f t="shared" ca="1" si="9"/>
        <v>43.557619627783687</v>
      </c>
      <c r="J33">
        <f t="shared" si="0"/>
        <v>32</v>
      </c>
      <c r="K33">
        <v>104.90884382534297</v>
      </c>
    </row>
    <row r="34" spans="1:11" x14ac:dyDescent="0.35">
      <c r="A34" t="str">
        <f ca="1">_xlfn.LET(_xlpm.r, RAND()+ROW()/100000 + $H$2/1000 + $H$2/1000,
 IF(_xlpm.r&lt;$B$5,"Small",
 IF(_xlpm.r&lt;$B$5+$B$6,"Medium","Large")))</f>
        <v>Small</v>
      </c>
      <c r="B34">
        <f t="shared" ca="1" si="1"/>
        <v>150</v>
      </c>
      <c r="C34">
        <f t="shared" ca="1" si="6"/>
        <v>75</v>
      </c>
      <c r="D34">
        <f ca="1">$B$2 * (1 - $D$2/2 + (RAND()+ROW()/100000 + $H$2/1000 + $H$2/1000) * $D$2)</f>
        <v>0.64643863429276538</v>
      </c>
      <c r="E34">
        <f t="shared" ca="1" si="7"/>
        <v>0.77346862250432136</v>
      </c>
      <c r="F34">
        <f t="shared" ca="1" si="8"/>
        <v>4325</v>
      </c>
      <c r="G34">
        <f t="shared" ca="1" si="9"/>
        <v>44.331088250288012</v>
      </c>
      <c r="J34">
        <f t="shared" si="0"/>
        <v>33</v>
      </c>
      <c r="K34">
        <v>105.47190687240614</v>
      </c>
    </row>
    <row r="35" spans="1:11" x14ac:dyDescent="0.35">
      <c r="A35" t="str">
        <f ca="1">_xlfn.LET(_xlpm.r, RAND()+ROW()/100000 + $H$2/1000 + $H$2/1000,
 IF(_xlpm.r&lt;$B$5,"Small",
 IF(_xlpm.r&lt;$B$5+$B$6,"Medium","Large")))</f>
        <v>Small</v>
      </c>
      <c r="B35">
        <f t="shared" ca="1" si="1"/>
        <v>150</v>
      </c>
      <c r="C35">
        <f t="shared" ca="1" si="6"/>
        <v>75</v>
      </c>
      <c r="D35">
        <f ca="1">$B$2 * (1 - $D$2/2 + (RAND()+ROW()/100000 + $H$2/1000 + $H$2/1000) * $D$2)</f>
        <v>0.73267245733768716</v>
      </c>
      <c r="E35">
        <f t="shared" ca="1" si="7"/>
        <v>0.68243318687978349</v>
      </c>
      <c r="F35">
        <f t="shared" ca="1" si="8"/>
        <v>4400</v>
      </c>
      <c r="G35">
        <f t="shared" ca="1" si="9"/>
        <v>45.013521437167796</v>
      </c>
      <c r="J35">
        <f t="shared" si="0"/>
        <v>34</v>
      </c>
      <c r="K35">
        <v>100.11434780531458</v>
      </c>
    </row>
    <row r="36" spans="1:11" x14ac:dyDescent="0.35">
      <c r="A36" t="str">
        <f ca="1">_xlfn.LET(_xlpm.r, RAND()+ROW()/100000 + $H$2/1000 + $H$2/1000,
 IF(_xlpm.r&lt;$B$5,"Small",
 IF(_xlpm.r&lt;$B$5+$B$6,"Medium","Large")))</f>
        <v>Medium</v>
      </c>
      <c r="B36">
        <f t="shared" ca="1" si="1"/>
        <v>500</v>
      </c>
      <c r="C36">
        <f t="shared" ca="1" si="6"/>
        <v>200</v>
      </c>
      <c r="D36">
        <f ca="1">$B$2 * (1 - $D$2/2 + (RAND()+ROW()/100000 + $H$2/1000 + $H$2/1000) * $D$2)</f>
        <v>0.7137712429294496</v>
      </c>
      <c r="E36">
        <f t="shared" ca="1" si="7"/>
        <v>2.3350151511096993</v>
      </c>
      <c r="F36">
        <f t="shared" ca="1" si="8"/>
        <v>4600</v>
      </c>
      <c r="G36">
        <f t="shared" ca="1" si="9"/>
        <v>47.348536588277497</v>
      </c>
      <c r="J36">
        <f t="shared" si="0"/>
        <v>35</v>
      </c>
      <c r="K36">
        <v>97.876320315800726</v>
      </c>
    </row>
    <row r="37" spans="1:11" x14ac:dyDescent="0.35">
      <c r="A37" t="str">
        <f ca="1">_xlfn.LET(_xlpm.r, RAND()+ROW()/100000 + $H$2/1000 + $H$2/1000,
 IF(_xlpm.r&lt;$B$5,"Small",
 IF(_xlpm.r&lt;$B$5+$B$6,"Medium","Large")))</f>
        <v>Medium</v>
      </c>
      <c r="B37">
        <f t="shared" ca="1" si="1"/>
        <v>500</v>
      </c>
      <c r="C37">
        <f t="shared" ca="1" si="6"/>
        <v>200</v>
      </c>
      <c r="D37">
        <f ca="1">$B$2 * (1 - $D$2/2 + (RAND()+ROW()/100000 + $H$2/1000 + $H$2/1000) * $D$2)</f>
        <v>0.65566474255806251</v>
      </c>
      <c r="E37">
        <f t="shared" ca="1" si="7"/>
        <v>2.5419495032845614</v>
      </c>
      <c r="F37">
        <f t="shared" ca="1" si="8"/>
        <v>4800</v>
      </c>
      <c r="G37">
        <f t="shared" ca="1" si="9"/>
        <v>49.89048609156206</v>
      </c>
      <c r="J37">
        <f t="shared" si="0"/>
        <v>36</v>
      </c>
      <c r="K37">
        <v>103.40456225016052</v>
      </c>
    </row>
    <row r="38" spans="1:11" x14ac:dyDescent="0.35">
      <c r="A38" t="str">
        <f ca="1">_xlfn.LET(_xlpm.r, RAND()+ROW()/100000 + $H$2/1000 + $H$2/1000,
 IF(_xlpm.r&lt;$B$5,"Small",
 IF(_xlpm.r&lt;$B$5+$B$6,"Medium","Large")))</f>
        <v>Large</v>
      </c>
      <c r="B38">
        <f t="shared" ca="1" si="1"/>
        <v>1000</v>
      </c>
      <c r="C38">
        <f t="shared" ca="1" si="6"/>
        <v>500</v>
      </c>
      <c r="D38">
        <f ca="1">$B$2 * (1 - $D$2/2 + (RAND()+ROW()/100000 + $H$2/1000 + $H$2/1000) * $D$2)</f>
        <v>0.75076565030771691</v>
      </c>
      <c r="E38">
        <f t="shared" ca="1" si="7"/>
        <v>4.4399118845768948</v>
      </c>
      <c r="F38">
        <f t="shared" ca="1" si="8"/>
        <v>5300</v>
      </c>
      <c r="G38">
        <f t="shared" ca="1" si="9"/>
        <v>54.330397976138954</v>
      </c>
      <c r="J38">
        <f t="shared" si="0"/>
        <v>37</v>
      </c>
      <c r="K38">
        <v>106.32137470472918</v>
      </c>
    </row>
    <row r="39" spans="1:11" x14ac:dyDescent="0.35">
      <c r="A39" t="str">
        <f ca="1">_xlfn.LET(_xlpm.r, RAND()+ROW()/100000 + $H$2/1000 + $H$2/1000,
 IF(_xlpm.r&lt;$B$5,"Small",
 IF(_xlpm.r&lt;$B$5+$B$6,"Medium","Large")))</f>
        <v>Small</v>
      </c>
      <c r="B39">
        <f t="shared" ca="1" si="1"/>
        <v>150</v>
      </c>
      <c r="C39">
        <f t="shared" ca="1" si="6"/>
        <v>75</v>
      </c>
      <c r="D39">
        <f ca="1">$B$2 * (1 - $D$2/2 + (RAND()+ROW()/100000 + $H$2/1000 + $H$2/1000) * $D$2)</f>
        <v>0.65813786375995076</v>
      </c>
      <c r="E39">
        <f t="shared" ca="1" si="7"/>
        <v>0.75971924353887355</v>
      </c>
      <c r="F39">
        <f t="shared" ca="1" si="8"/>
        <v>5375</v>
      </c>
      <c r="G39">
        <f t="shared" ca="1" si="9"/>
        <v>55.090117219677829</v>
      </c>
      <c r="J39">
        <f t="shared" si="0"/>
        <v>38</v>
      </c>
      <c r="K39">
        <v>97.761802906538563</v>
      </c>
    </row>
    <row r="40" spans="1:11" x14ac:dyDescent="0.35">
      <c r="A40" t="str">
        <f ca="1">_xlfn.LET(_xlpm.r, RAND()+ROW()/100000 + $H$2/1000 + $H$2/1000,
 IF(_xlpm.r&lt;$B$5,"Small",
 IF(_xlpm.r&lt;$B$5+$B$6,"Medium","Large")))</f>
        <v>Small</v>
      </c>
      <c r="B40">
        <f t="shared" ca="1" si="1"/>
        <v>150</v>
      </c>
      <c r="C40">
        <f t="shared" ca="1" si="6"/>
        <v>75</v>
      </c>
      <c r="D40">
        <f ca="1">$B$2 * (1 - $D$2/2 + (RAND()+ROW()/100000 + $H$2/1000 + $H$2/1000) * $D$2)</f>
        <v>0.75265552403536296</v>
      </c>
      <c r="E40">
        <f t="shared" ca="1" si="7"/>
        <v>0.66431452906802535</v>
      </c>
      <c r="F40">
        <f t="shared" ca="1" si="8"/>
        <v>5450</v>
      </c>
      <c r="G40">
        <f t="shared" ca="1" si="9"/>
        <v>55.754431748745851</v>
      </c>
      <c r="J40">
        <f t="shared" si="0"/>
        <v>39</v>
      </c>
      <c r="K40">
        <v>105.02399178333727</v>
      </c>
    </row>
    <row r="41" spans="1:11" x14ac:dyDescent="0.35">
      <c r="A41" t="str">
        <f ca="1">_xlfn.LET(_xlpm.r, RAND()+ROW()/100000 + $H$2/1000 + $H$2/1000,
 IF(_xlpm.r&lt;$B$5,"Small",
 IF(_xlpm.r&lt;$B$5+$B$6,"Medium","Large")))</f>
        <v>Small</v>
      </c>
      <c r="B41">
        <f t="shared" ca="1" si="1"/>
        <v>150</v>
      </c>
      <c r="C41">
        <f t="shared" ca="1" si="6"/>
        <v>75</v>
      </c>
      <c r="D41">
        <f ca="1">$B$2 * (1 - $D$2/2 + (RAND()+ROW()/100000 + $H$2/1000 + $H$2/1000) * $D$2)</f>
        <v>0.67178784914374312</v>
      </c>
      <c r="E41">
        <f t="shared" ca="1" si="7"/>
        <v>0.74428258956647864</v>
      </c>
      <c r="F41">
        <f t="shared" ca="1" si="8"/>
        <v>5525</v>
      </c>
      <c r="G41">
        <f t="shared" ca="1" si="9"/>
        <v>56.498714338312332</v>
      </c>
      <c r="J41">
        <f t="shared" si="0"/>
        <v>40</v>
      </c>
      <c r="K41">
        <v>108.14967881564182</v>
      </c>
    </row>
    <row r="42" spans="1:11" x14ac:dyDescent="0.35">
      <c r="A42" t="str">
        <f ca="1">_xlfn.LET(_xlpm.r, RAND()+ROW()/100000 + $H$2/1000 + $H$2/1000,
 IF(_xlpm.r&lt;$B$5,"Small",
 IF(_xlpm.r&lt;$B$5+$B$6,"Medium","Large")))</f>
        <v>Small</v>
      </c>
      <c r="B42">
        <f t="shared" ca="1" si="1"/>
        <v>150</v>
      </c>
      <c r="C42">
        <f t="shared" ca="1" si="6"/>
        <v>75</v>
      </c>
      <c r="D42">
        <f ca="1">$B$2 * (1 - $D$2/2 + (RAND()+ROW()/100000 + $H$2/1000 + $H$2/1000) * $D$2)</f>
        <v>0.74837107639936107</v>
      </c>
      <c r="E42">
        <f t="shared" ca="1" si="7"/>
        <v>0.66811775036209409</v>
      </c>
      <c r="F42">
        <f t="shared" ca="1" si="8"/>
        <v>5600</v>
      </c>
      <c r="G42">
        <f t="shared" ca="1" si="9"/>
        <v>57.166832088674425</v>
      </c>
      <c r="J42">
        <f t="shared" si="0"/>
        <v>41</v>
      </c>
      <c r="K42">
        <v>102.34770664900553</v>
      </c>
    </row>
    <row r="43" spans="1:11" x14ac:dyDescent="0.35">
      <c r="A43" t="str">
        <f ca="1">_xlfn.LET(_xlpm.r, RAND()+ROW()/100000 + $H$2/1000 + $H$2/1000,
 IF(_xlpm.r&lt;$B$5,"Small",
 IF(_xlpm.r&lt;$B$5+$B$6,"Medium","Large")))</f>
        <v>Small</v>
      </c>
      <c r="B43">
        <f t="shared" ca="1" si="1"/>
        <v>150</v>
      </c>
      <c r="C43">
        <f t="shared" ca="1" si="6"/>
        <v>75</v>
      </c>
      <c r="D43">
        <f ca="1">$B$2 * (1 - $D$2/2 + (RAND()+ROW()/100000 + $H$2/1000 + $H$2/1000) * $D$2)</f>
        <v>0.77210890107022956</v>
      </c>
      <c r="E43">
        <f t="shared" ca="1" si="7"/>
        <v>0.64757704425754437</v>
      </c>
      <c r="F43">
        <f t="shared" ca="1" si="8"/>
        <v>5675</v>
      </c>
      <c r="G43">
        <f t="shared" ca="1" si="9"/>
        <v>57.814409132931971</v>
      </c>
      <c r="J43">
        <f t="shared" si="0"/>
        <v>42</v>
      </c>
      <c r="K43">
        <v>105.82336348624546</v>
      </c>
    </row>
    <row r="44" spans="1:11" x14ac:dyDescent="0.35">
      <c r="A44" t="str">
        <f ca="1">_xlfn.LET(_xlpm.r, RAND()+ROW()/100000 + $H$2/1000 + $H$2/1000,
 IF(_xlpm.r&lt;$B$5,"Small",
 IF(_xlpm.r&lt;$B$5+$B$6,"Medium","Large")))</f>
        <v>Small</v>
      </c>
      <c r="B44">
        <f t="shared" ca="1" si="1"/>
        <v>150</v>
      </c>
      <c r="C44">
        <f t="shared" ca="1" si="6"/>
        <v>75</v>
      </c>
      <c r="D44">
        <f ca="1">$B$2 * (1 - $D$2/2 + (RAND()+ROW()/100000 + $H$2/1000 + $H$2/1000) * $D$2)</f>
        <v>0.66668845093559426</v>
      </c>
      <c r="E44">
        <f t="shared" ca="1" si="7"/>
        <v>0.74997549349824089</v>
      </c>
      <c r="F44">
        <f t="shared" ca="1" si="8"/>
        <v>5750</v>
      </c>
      <c r="G44">
        <f t="shared" ca="1" si="9"/>
        <v>58.564384626430211</v>
      </c>
      <c r="J44">
        <f t="shared" si="0"/>
        <v>43</v>
      </c>
      <c r="K44">
        <v>104.72787535613757</v>
      </c>
    </row>
    <row r="45" spans="1:11" x14ac:dyDescent="0.35">
      <c r="A45" t="str">
        <f ca="1">_xlfn.LET(_xlpm.r, RAND()+ROW()/100000 + $H$2/1000 + $H$2/1000,
 IF(_xlpm.r&lt;$B$5,"Small",
 IF(_xlpm.r&lt;$B$5+$B$6,"Medium","Large")))</f>
        <v>Small</v>
      </c>
      <c r="B45">
        <f t="shared" ca="1" si="1"/>
        <v>150</v>
      </c>
      <c r="C45">
        <f t="shared" ca="1" si="6"/>
        <v>75</v>
      </c>
      <c r="D45">
        <f ca="1">$B$2 * (1 - $D$2/2 + (RAND()+ROW()/100000 + $H$2/1000 + $H$2/1000) * $D$2)</f>
        <v>0.67268932889083499</v>
      </c>
      <c r="E45">
        <f t="shared" ca="1" si="7"/>
        <v>0.74328516675658574</v>
      </c>
      <c r="F45">
        <f t="shared" ca="1" si="8"/>
        <v>5825</v>
      </c>
      <c r="G45">
        <f t="shared" ca="1" si="9"/>
        <v>59.307669793186797</v>
      </c>
      <c r="J45">
        <f t="shared" si="0"/>
        <v>44</v>
      </c>
      <c r="K45">
        <v>99.618197954486021</v>
      </c>
    </row>
    <row r="46" spans="1:11" x14ac:dyDescent="0.35">
      <c r="A46" t="str">
        <f ca="1">_xlfn.LET(_xlpm.r, RAND()+ROW()/100000 + $H$2/1000 + $H$2/1000,
 IF(_xlpm.r&lt;$B$5,"Small",
 IF(_xlpm.r&lt;$B$5+$B$6,"Medium","Large")))</f>
        <v>Small</v>
      </c>
      <c r="B46">
        <f t="shared" ca="1" si="1"/>
        <v>150</v>
      </c>
      <c r="C46">
        <f t="shared" ca="1" si="6"/>
        <v>75</v>
      </c>
      <c r="D46">
        <f ca="1">$B$2 * (1 - $D$2/2 + (RAND()+ROW()/100000 + $H$2/1000 + $H$2/1000) * $D$2)</f>
        <v>0.74537581442454559</v>
      </c>
      <c r="E46">
        <f t="shared" ca="1" si="7"/>
        <v>0.67080255399219824</v>
      </c>
      <c r="F46">
        <f t="shared" ca="1" si="8"/>
        <v>5900</v>
      </c>
      <c r="G46">
        <f t="shared" ca="1" si="9"/>
        <v>59.978472347178993</v>
      </c>
      <c r="J46">
        <f t="shared" si="0"/>
        <v>45</v>
      </c>
      <c r="K46">
        <v>97.639474096533036</v>
      </c>
    </row>
    <row r="47" spans="1:11" x14ac:dyDescent="0.35">
      <c r="A47" t="str">
        <f ca="1">_xlfn.LET(_xlpm.r, RAND()+ROW()/100000 + $H$2/1000 + $H$2/1000,
 IF(_xlpm.r&lt;$B$5,"Small",
 IF(_xlpm.r&lt;$B$5+$B$6,"Medium","Large")))</f>
        <v>Medium</v>
      </c>
      <c r="B47">
        <f t="shared" ca="1" si="1"/>
        <v>500</v>
      </c>
      <c r="C47">
        <f t="shared" ca="1" si="6"/>
        <v>200</v>
      </c>
      <c r="D47">
        <f ca="1">$B$2 * (1 - $D$2/2 + (RAND()+ROW()/100000 + $H$2/1000 + $H$2/1000) * $D$2)</f>
        <v>0.61810345964009272</v>
      </c>
      <c r="E47">
        <f t="shared" ca="1" si="7"/>
        <v>2.6964202200666021</v>
      </c>
      <c r="F47">
        <f t="shared" ca="1" si="8"/>
        <v>6100</v>
      </c>
      <c r="G47">
        <f t="shared" ca="1" si="9"/>
        <v>62.674892567245593</v>
      </c>
      <c r="J47">
        <f t="shared" si="0"/>
        <v>46</v>
      </c>
      <c r="K47">
        <v>103.57420230293803</v>
      </c>
    </row>
    <row r="48" spans="1:11" x14ac:dyDescent="0.35">
      <c r="A48" t="str">
        <f ca="1">_xlfn.LET(_xlpm.r, RAND()+ROW()/100000 + $H$2/1000 + $H$2/1000,
 IF(_xlpm.r&lt;$B$5,"Small",
 IF(_xlpm.r&lt;$B$5+$B$6,"Medium","Large")))</f>
        <v>Medium</v>
      </c>
      <c r="B48">
        <f t="shared" ca="1" si="1"/>
        <v>500</v>
      </c>
      <c r="C48">
        <f t="shared" ca="1" si="6"/>
        <v>200</v>
      </c>
      <c r="D48">
        <f ca="1">$B$2 * (1 - $D$2/2 + (RAND()+ROW()/100000 + $H$2/1000 + $H$2/1000) * $D$2)</f>
        <v>0.64623152359730285</v>
      </c>
      <c r="E48">
        <f t="shared" ca="1" si="7"/>
        <v>2.579055038028824</v>
      </c>
      <c r="F48">
        <f t="shared" ca="1" si="8"/>
        <v>6300</v>
      </c>
      <c r="G48">
        <f t="shared" ca="1" si="9"/>
        <v>65.253947605274419</v>
      </c>
      <c r="J48">
        <f t="shared" si="0"/>
        <v>47</v>
      </c>
      <c r="K48">
        <v>100.48237688934492</v>
      </c>
    </row>
    <row r="49" spans="1:11" x14ac:dyDescent="0.35">
      <c r="A49" t="str">
        <f ca="1">_xlfn.LET(_xlpm.r, RAND()+ROW()/100000 + $H$2/1000 + $H$2/1000,
 IF(_xlpm.r&lt;$B$5,"Small",
 IF(_xlpm.r&lt;$B$5+$B$6,"Medium","Large")))</f>
        <v>Small</v>
      </c>
      <c r="B49">
        <f t="shared" ca="1" si="1"/>
        <v>150</v>
      </c>
      <c r="C49">
        <f t="shared" ca="1" si="6"/>
        <v>75</v>
      </c>
      <c r="D49">
        <f ca="1">$B$2 * (1 - $D$2/2 + (RAND()+ROW()/100000 + $H$2/1000 + $H$2/1000) * $D$2)</f>
        <v>0.64666900565489183</v>
      </c>
      <c r="E49">
        <f t="shared" ca="1" si="7"/>
        <v>0.7731930796553983</v>
      </c>
      <c r="F49">
        <f t="shared" ca="1" si="8"/>
        <v>6375</v>
      </c>
      <c r="G49">
        <f t="shared" ca="1" si="9"/>
        <v>66.027140684929819</v>
      </c>
      <c r="J49">
        <f t="shared" si="0"/>
        <v>48</v>
      </c>
      <c r="K49">
        <v>104.19957750607256</v>
      </c>
    </row>
    <row r="50" spans="1:11" x14ac:dyDescent="0.35">
      <c r="A50" t="str">
        <f ca="1">_xlfn.LET(_xlpm.r, RAND()+ROW()/100000 + $H$2/1000 + $H$2/1000,
 IF(_xlpm.r&lt;$B$5,"Small",
 IF(_xlpm.r&lt;$B$5+$B$6,"Medium","Large")))</f>
        <v>Small</v>
      </c>
      <c r="B50">
        <f t="shared" ca="1" si="1"/>
        <v>150</v>
      </c>
      <c r="C50">
        <f t="shared" ca="1" si="6"/>
        <v>75</v>
      </c>
      <c r="D50">
        <f ca="1">$B$2 * (1 - $D$2/2 + (RAND()+ROW()/100000 + $H$2/1000 + $H$2/1000) * $D$2)</f>
        <v>0.62432445664094094</v>
      </c>
      <c r="E50">
        <f t="shared" ca="1" si="7"/>
        <v>0.80086563113377773</v>
      </c>
      <c r="F50">
        <f t="shared" ca="1" si="8"/>
        <v>6450</v>
      </c>
      <c r="G50">
        <f t="shared" ca="1" si="9"/>
        <v>66.828006316063593</v>
      </c>
      <c r="J50">
        <f t="shared" si="0"/>
        <v>49</v>
      </c>
      <c r="K50">
        <v>100.05619895675653</v>
      </c>
    </row>
    <row r="51" spans="1:11" x14ac:dyDescent="0.35">
      <c r="A51" t="str">
        <f ca="1">_xlfn.LET(_xlpm.r, RAND()+ROW()/100000 + $H$2/1000 + $H$2/1000,
 IF(_xlpm.r&lt;$B$5,"Small",
 IF(_xlpm.r&lt;$B$5+$B$6,"Medium","Large")))</f>
        <v>Small</v>
      </c>
      <c r="B51">
        <f t="shared" ca="1" si="1"/>
        <v>150</v>
      </c>
      <c r="C51">
        <f t="shared" ca="1" si="6"/>
        <v>75</v>
      </c>
      <c r="D51">
        <f ca="1">$B$2 * (1 - $D$2/2 + (RAND()+ROW()/100000 + $H$2/1000 + $H$2/1000) * $D$2)</f>
        <v>0.71447238137186941</v>
      </c>
      <c r="E51">
        <f t="shared" ca="1" si="7"/>
        <v>0.69981711404987035</v>
      </c>
      <c r="F51">
        <f t="shared" ca="1" si="8"/>
        <v>6525</v>
      </c>
      <c r="G51">
        <f t="shared" ca="1" si="9"/>
        <v>67.527823430113457</v>
      </c>
      <c r="J51">
        <f t="shared" si="0"/>
        <v>50</v>
      </c>
      <c r="K51">
        <v>100.76419119284462</v>
      </c>
    </row>
    <row r="52" spans="1:11" x14ac:dyDescent="0.35">
      <c r="A52" t="str">
        <f ca="1">_xlfn.LET(_xlpm.r, RAND()+ROW()/100000 + $H$2/1000 + $H$2/1000,
 IF(_xlpm.r&lt;$B$5,"Small",
 IF(_xlpm.r&lt;$B$5+$B$6,"Medium","Large")))</f>
        <v>Medium</v>
      </c>
      <c r="B52">
        <f t="shared" ca="1" si="1"/>
        <v>500</v>
      </c>
      <c r="C52">
        <f t="shared" ca="1" si="6"/>
        <v>200</v>
      </c>
      <c r="D52">
        <f ca="1">$B$2 * (1 - $D$2/2 + (RAND()+ROW()/100000 + $H$2/1000 + $H$2/1000) * $D$2)</f>
        <v>0.65515247575610847</v>
      </c>
      <c r="E52">
        <f t="shared" ca="1" si="7"/>
        <v>2.5439370655558835</v>
      </c>
      <c r="F52">
        <f t="shared" ca="1" si="8"/>
        <v>6725</v>
      </c>
      <c r="G52">
        <f t="shared" ca="1" si="9"/>
        <v>70.071760495669338</v>
      </c>
      <c r="J52">
        <f t="shared" si="0"/>
        <v>51</v>
      </c>
      <c r="K52">
        <v>102.91491957758301</v>
      </c>
    </row>
    <row r="53" spans="1:11" x14ac:dyDescent="0.35">
      <c r="A53" t="str">
        <f ca="1">_xlfn.LET(_xlpm.r, RAND()+ROW()/100000 + $H$2/1000 + $H$2/1000,
 IF(_xlpm.r&lt;$B$5,"Small",
 IF(_xlpm.r&lt;$B$5+$B$6,"Medium","Large")))</f>
        <v>Large</v>
      </c>
      <c r="B53">
        <f t="shared" ca="1" si="1"/>
        <v>1000</v>
      </c>
      <c r="C53">
        <f t="shared" ca="1" si="6"/>
        <v>500</v>
      </c>
      <c r="D53">
        <f ca="1">$B$2 * (1 - $D$2/2 + (RAND()+ROW()/100000 + $H$2/1000 + $H$2/1000) * $D$2)</f>
        <v>0.65073937404457338</v>
      </c>
      <c r="E53">
        <f t="shared" ca="1" si="7"/>
        <v>5.1223784302700146</v>
      </c>
      <c r="F53">
        <f t="shared" ca="1" si="8"/>
        <v>7225</v>
      </c>
      <c r="G53">
        <f t="shared" ca="1" si="9"/>
        <v>75.194138925939356</v>
      </c>
      <c r="J53">
        <f t="shared" si="0"/>
        <v>52</v>
      </c>
      <c r="K53">
        <v>99.980248197599977</v>
      </c>
    </row>
    <row r="54" spans="1:11" x14ac:dyDescent="0.35">
      <c r="A54" t="str">
        <f ca="1">_xlfn.LET(_xlpm.r, RAND()+ROW()/100000 + $H$2/1000 + $H$2/1000,
 IF(_xlpm.r&lt;$B$5,"Small",
 IF(_xlpm.r&lt;$B$5+$B$6,"Medium","Large")))</f>
        <v>Small</v>
      </c>
      <c r="B54">
        <f t="shared" ca="1" si="1"/>
        <v>150</v>
      </c>
      <c r="C54">
        <f t="shared" ca="1" si="6"/>
        <v>75</v>
      </c>
      <c r="D54">
        <f ca="1">$B$2 * (1 - $D$2/2 + (RAND()+ROW()/100000 + $H$2/1000 + $H$2/1000) * $D$2)</f>
        <v>0.67776006687853541</v>
      </c>
      <c r="E54">
        <f t="shared" ca="1" si="7"/>
        <v>0.73772419538197342</v>
      </c>
      <c r="F54">
        <f t="shared" ca="1" si="8"/>
        <v>7300</v>
      </c>
      <c r="G54">
        <f t="shared" ca="1" si="9"/>
        <v>75.931863121321328</v>
      </c>
      <c r="J54">
        <f t="shared" si="0"/>
        <v>53</v>
      </c>
      <c r="K54">
        <v>103.81506974356455</v>
      </c>
    </row>
    <row r="55" spans="1:11" x14ac:dyDescent="0.35">
      <c r="A55" t="str">
        <f ca="1">_xlfn.LET(_xlpm.r, RAND()+ROW()/100000 + $H$2/1000 + $H$2/1000,
 IF(_xlpm.r&lt;$B$5,"Small",
 IF(_xlpm.r&lt;$B$5+$B$6,"Medium","Large")))</f>
        <v>Small</v>
      </c>
      <c r="B55">
        <f t="shared" ca="1" si="1"/>
        <v>150</v>
      </c>
      <c r="C55">
        <f t="shared" ca="1" si="6"/>
        <v>75</v>
      </c>
      <c r="D55">
        <f ca="1">$B$2 * (1 - $D$2/2 + (RAND()+ROW()/100000 + $H$2/1000 + $H$2/1000) * $D$2)</f>
        <v>0.69941466406039898</v>
      </c>
      <c r="E55">
        <f t="shared" ca="1" si="7"/>
        <v>0.71488349571810195</v>
      </c>
      <c r="F55">
        <f t="shared" ca="1" si="8"/>
        <v>7375</v>
      </c>
      <c r="G55">
        <f t="shared" ca="1" si="9"/>
        <v>76.646746617039426</v>
      </c>
      <c r="J55">
        <f t="shared" si="0"/>
        <v>54</v>
      </c>
      <c r="K55">
        <v>98.241865196671824</v>
      </c>
    </row>
    <row r="56" spans="1:11" x14ac:dyDescent="0.35">
      <c r="A56" t="str">
        <f ca="1">_xlfn.LET(_xlpm.r, RAND()+ROW()/100000 + $H$2/1000 + $H$2/1000,
 IF(_xlpm.r&lt;$B$5,"Small",
 IF(_xlpm.r&lt;$B$5+$B$6,"Medium","Large")))</f>
        <v>Small</v>
      </c>
      <c r="B56">
        <f t="shared" ca="1" si="1"/>
        <v>150</v>
      </c>
      <c r="C56">
        <f t="shared" ca="1" si="6"/>
        <v>75</v>
      </c>
      <c r="D56">
        <f ca="1">$B$2 * (1 - $D$2/2 + (RAND()+ROW()/100000 + $H$2/1000 + $H$2/1000) * $D$2)</f>
        <v>0.63532395546034193</v>
      </c>
      <c r="E56">
        <f t="shared" ca="1" si="7"/>
        <v>0.78700007406097394</v>
      </c>
      <c r="F56">
        <f t="shared" ca="1" si="8"/>
        <v>7450</v>
      </c>
      <c r="G56">
        <f t="shared" ca="1" si="9"/>
        <v>77.433746691100396</v>
      </c>
      <c r="J56">
        <f t="shared" si="0"/>
        <v>55</v>
      </c>
      <c r="K56">
        <v>97.567925084985148</v>
      </c>
    </row>
    <row r="57" spans="1:11" x14ac:dyDescent="0.35">
      <c r="A57" t="str">
        <f ca="1">_xlfn.LET(_xlpm.r, RAND()+ROW()/100000 + $H$2/1000 + $H$2/1000,
 IF(_xlpm.r&lt;$B$5,"Small",
 IF(_xlpm.r&lt;$B$5+$B$6,"Medium","Large")))</f>
        <v>Small</v>
      </c>
      <c r="B57">
        <f t="shared" ca="1" si="1"/>
        <v>150</v>
      </c>
      <c r="C57">
        <f t="shared" ca="1" si="6"/>
        <v>75</v>
      </c>
      <c r="D57">
        <f ca="1">$B$2 * (1 - $D$2/2 + (RAND()+ROW()/100000 + $H$2/1000 + $H$2/1000) * $D$2)</f>
        <v>0.70020173803650243</v>
      </c>
      <c r="E57">
        <f t="shared" ca="1" si="7"/>
        <v>0.71407991845620689</v>
      </c>
      <c r="F57">
        <f t="shared" ca="1" si="8"/>
        <v>7525</v>
      </c>
      <c r="G57">
        <f t="shared" ca="1" si="9"/>
        <v>78.147826609556603</v>
      </c>
      <c r="J57">
        <f t="shared" si="0"/>
        <v>56</v>
      </c>
      <c r="K57">
        <v>101.59685956479527</v>
      </c>
    </row>
    <row r="58" spans="1:11" x14ac:dyDescent="0.35">
      <c r="A58" t="str">
        <f ca="1">_xlfn.LET(_xlpm.r, RAND()+ROW()/100000 + $H$2/1000 + $H$2/1000,
 IF(_xlpm.r&lt;$B$5,"Small",
 IF(_xlpm.r&lt;$B$5+$B$6,"Medium","Large")))</f>
        <v>Small</v>
      </c>
      <c r="B58">
        <f t="shared" ca="1" si="1"/>
        <v>150</v>
      </c>
      <c r="C58">
        <f t="shared" ca="1" si="6"/>
        <v>75</v>
      </c>
      <c r="D58">
        <f ca="1">$B$2 * (1 - $D$2/2 + (RAND()+ROW()/100000 + $H$2/1000 + $H$2/1000) * $D$2)</f>
        <v>0.60881613331470474</v>
      </c>
      <c r="E58">
        <f t="shared" ca="1" si="7"/>
        <v>0.8212660155336976</v>
      </c>
      <c r="F58">
        <f t="shared" ca="1" si="8"/>
        <v>7600</v>
      </c>
      <c r="G58">
        <f t="shared" ca="1" si="9"/>
        <v>78.969092625090298</v>
      </c>
      <c r="J58">
        <f t="shared" si="0"/>
        <v>57</v>
      </c>
      <c r="K58">
        <v>97.00103407378117</v>
      </c>
    </row>
    <row r="59" spans="1:11" x14ac:dyDescent="0.35">
      <c r="A59" t="str">
        <f ca="1">_xlfn.LET(_xlpm.r, RAND()+ROW()/100000 + $H$2/1000 + $H$2/1000,
 IF(_xlpm.r&lt;$B$5,"Small",
 IF(_xlpm.r&lt;$B$5+$B$6,"Medium","Large")))</f>
        <v>Small</v>
      </c>
      <c r="B59">
        <f t="shared" ca="1" si="1"/>
        <v>150</v>
      </c>
      <c r="C59">
        <f t="shared" ca="1" si="6"/>
        <v>75</v>
      </c>
      <c r="D59">
        <f ca="1">$B$2 * (1 - $D$2/2 + (RAND()+ROW()/100000 + $H$2/1000 + $H$2/1000) * $D$2)</f>
        <v>0.75577907489351837</v>
      </c>
      <c r="E59">
        <f t="shared" ca="1" si="7"/>
        <v>0.66156899100500366</v>
      </c>
      <c r="F59">
        <f t="shared" ca="1" si="8"/>
        <v>7675</v>
      </c>
      <c r="G59">
        <f t="shared" ca="1" si="9"/>
        <v>79.630661616095296</v>
      </c>
      <c r="J59">
        <f t="shared" si="0"/>
        <v>58</v>
      </c>
      <c r="K59">
        <v>101.18377920490346</v>
      </c>
    </row>
    <row r="60" spans="1:11" x14ac:dyDescent="0.35">
      <c r="A60" t="str">
        <f ca="1">_xlfn.LET(_xlpm.r, RAND()+ROW()/100000 + $H$2/1000 + $H$2/1000,
 IF(_xlpm.r&lt;$B$5,"Small",
 IF(_xlpm.r&lt;$B$5+$B$6,"Medium","Large")))</f>
        <v>Small</v>
      </c>
      <c r="B60">
        <f t="shared" ca="1" si="1"/>
        <v>150</v>
      </c>
      <c r="C60">
        <f t="shared" ca="1" si="6"/>
        <v>75</v>
      </c>
      <c r="D60">
        <f ca="1">$B$2 * (1 - $D$2/2 + (RAND()+ROW()/100000 + $H$2/1000 + $H$2/1000) * $D$2)</f>
        <v>0.7835274649888041</v>
      </c>
      <c r="E60">
        <f t="shared" ca="1" si="7"/>
        <v>0.63813972367534633</v>
      </c>
      <c r="F60">
        <f t="shared" ca="1" si="8"/>
        <v>7750</v>
      </c>
      <c r="G60">
        <f t="shared" ca="1" si="9"/>
        <v>80.268801339770647</v>
      </c>
      <c r="J60">
        <f t="shared" si="0"/>
        <v>59</v>
      </c>
      <c r="K60">
        <v>96.852759307611407</v>
      </c>
    </row>
    <row r="61" spans="1:11" x14ac:dyDescent="0.35">
      <c r="A61" t="str">
        <f ca="1">_xlfn.LET(_xlpm.r, RAND()+ROW()/100000 + $H$2/1000 + $H$2/1000,
 IF(_xlpm.r&lt;$B$5,"Small",
 IF(_xlpm.r&lt;$B$5+$B$6,"Medium","Large")))</f>
        <v>Small</v>
      </c>
      <c r="B61">
        <f t="shared" ca="1" si="1"/>
        <v>150</v>
      </c>
      <c r="C61">
        <f t="shared" ca="1" si="6"/>
        <v>75</v>
      </c>
      <c r="D61">
        <f ca="1">$B$2 * (1 - $D$2/2 + (RAND()+ROW()/100000 + $H$2/1000 + $H$2/1000) * $D$2)</f>
        <v>0.69674677388682305</v>
      </c>
      <c r="E61">
        <f t="shared" ca="1" si="7"/>
        <v>0.71762083261718579</v>
      </c>
      <c r="F61">
        <f t="shared" ca="1" si="8"/>
        <v>7825</v>
      </c>
      <c r="G61">
        <f t="shared" ca="1" si="9"/>
        <v>80.986422172387833</v>
      </c>
      <c r="J61">
        <f t="shared" si="0"/>
        <v>60</v>
      </c>
      <c r="K61">
        <v>103.73504478415795</v>
      </c>
    </row>
    <row r="62" spans="1:11" x14ac:dyDescent="0.35">
      <c r="A62" t="str">
        <f ca="1">_xlfn.LET(_xlpm.r, RAND()+ROW()/100000 + $H$2/1000 + $H$2/1000,
 IF(_xlpm.r&lt;$B$5,"Small",
 IF(_xlpm.r&lt;$B$5+$B$6,"Medium","Large")))</f>
        <v>Small</v>
      </c>
      <c r="B62">
        <f t="shared" ca="1" si="1"/>
        <v>150</v>
      </c>
      <c r="C62">
        <f t="shared" ca="1" si="6"/>
        <v>75</v>
      </c>
      <c r="D62">
        <f ca="1">$B$2 * (1 - $D$2/2 + (RAND()+ROW()/100000 + $H$2/1000 + $H$2/1000) * $D$2)</f>
        <v>0.60272240998853388</v>
      </c>
      <c r="E62">
        <f t="shared" ca="1" si="7"/>
        <v>0.829569287144163</v>
      </c>
      <c r="F62">
        <f t="shared" ca="1" si="8"/>
        <v>7900</v>
      </c>
      <c r="G62">
        <f t="shared" ca="1" si="9"/>
        <v>81.815991459532</v>
      </c>
      <c r="J62">
        <f t="shared" si="0"/>
        <v>61</v>
      </c>
      <c r="K62">
        <v>99.530789224691517</v>
      </c>
    </row>
    <row r="63" spans="1:11" x14ac:dyDescent="0.35">
      <c r="A63" t="str">
        <f ca="1">_xlfn.LET(_xlpm.r, RAND()+ROW()/100000 + $H$2/1000 + $H$2/1000,
 IF(_xlpm.r&lt;$B$5,"Small",
 IF(_xlpm.r&lt;$B$5+$B$6,"Medium","Large")))</f>
        <v>Small</v>
      </c>
      <c r="B63">
        <f t="shared" ca="1" si="1"/>
        <v>150</v>
      </c>
      <c r="C63">
        <f t="shared" ca="1" si="6"/>
        <v>75</v>
      </c>
      <c r="D63">
        <f ca="1">$B$2 * (1 - $D$2/2 + (RAND()+ROW()/100000 + $H$2/1000 + $H$2/1000) * $D$2)</f>
        <v>0.66869080307888584</v>
      </c>
      <c r="E63">
        <f t="shared" ca="1" si="7"/>
        <v>0.74772973951163302</v>
      </c>
      <c r="F63">
        <f t="shared" ca="1" si="8"/>
        <v>7975</v>
      </c>
      <c r="G63">
        <f t="shared" ca="1" si="9"/>
        <v>82.563721199043627</v>
      </c>
      <c r="J63">
        <f t="shared" si="0"/>
        <v>62</v>
      </c>
      <c r="K63">
        <v>98.562764766155951</v>
      </c>
    </row>
    <row r="64" spans="1:11" x14ac:dyDescent="0.35">
      <c r="A64" t="str">
        <f ca="1">_xlfn.LET(_xlpm.r, RAND()+ROW()/100000 + $H$2/1000 + $H$2/1000,
 IF(_xlpm.r&lt;$B$5,"Small",
 IF(_xlpm.r&lt;$B$5+$B$6,"Medium","Large")))</f>
        <v>Small</v>
      </c>
      <c r="B64">
        <f t="shared" ca="1" si="1"/>
        <v>150</v>
      </c>
      <c r="C64">
        <f t="shared" ca="1" si="6"/>
        <v>75</v>
      </c>
      <c r="D64">
        <f ca="1">$B$2 * (1 - $D$2/2 + (RAND()+ROW()/100000 + $H$2/1000 + $H$2/1000) * $D$2)</f>
        <v>0.68346757189937191</v>
      </c>
      <c r="E64">
        <f t="shared" ca="1" si="7"/>
        <v>0.73156360383052066</v>
      </c>
      <c r="F64">
        <f t="shared" ca="1" si="8"/>
        <v>8050</v>
      </c>
      <c r="G64">
        <f t="shared" ca="1" si="9"/>
        <v>83.29528480287415</v>
      </c>
      <c r="J64">
        <f t="shared" si="0"/>
        <v>63</v>
      </c>
      <c r="K64">
        <v>98.311905984919449</v>
      </c>
    </row>
    <row r="65" spans="1:11" x14ac:dyDescent="0.35">
      <c r="A65" t="str">
        <f ca="1">_xlfn.LET(_xlpm.r, RAND()+ROW()/100000 + $H$2/1000 + $H$2/1000,
 IF(_xlpm.r&lt;$B$5,"Small",
 IF(_xlpm.r&lt;$B$5+$B$6,"Medium","Large")))</f>
        <v>Medium</v>
      </c>
      <c r="B65">
        <f t="shared" ca="1" si="1"/>
        <v>500</v>
      </c>
      <c r="C65">
        <f t="shared" ca="1" si="6"/>
        <v>200</v>
      </c>
      <c r="D65">
        <f ca="1">$B$2 * (1 - $D$2/2 + (RAND()+ROW()/100000 + $H$2/1000 + $H$2/1000) * $D$2)</f>
        <v>0.60997396298806372</v>
      </c>
      <c r="E65">
        <f t="shared" ca="1" si="7"/>
        <v>2.7323570640658326</v>
      </c>
      <c r="F65">
        <f t="shared" ca="1" si="8"/>
        <v>8250</v>
      </c>
      <c r="G65">
        <f t="shared" ca="1" si="9"/>
        <v>86.027641866939987</v>
      </c>
      <c r="J65">
        <f t="shared" si="0"/>
        <v>64</v>
      </c>
      <c r="K65">
        <v>105.67304935477408</v>
      </c>
    </row>
    <row r="66" spans="1:11" x14ac:dyDescent="0.35">
      <c r="A66" t="str">
        <f ca="1">_xlfn.LET(_xlpm.r, RAND()+ROW()/100000 + $H$2/1000 + $H$2/1000,
 IF(_xlpm.r&lt;$B$5,"Small",
 IF(_xlpm.r&lt;$B$5+$B$6,"Medium","Large")))</f>
        <v>Medium</v>
      </c>
      <c r="B66">
        <f t="shared" ca="1" si="1"/>
        <v>500</v>
      </c>
      <c r="C66">
        <f t="shared" ca="1" si="6"/>
        <v>200</v>
      </c>
      <c r="D66">
        <f ca="1">$B$2 * (1 - $D$2/2 + (RAND()+ROW()/100000 + $H$2/1000 + $H$2/1000) * $D$2)</f>
        <v>0.64629171596501345</v>
      </c>
      <c r="E66">
        <f t="shared" ca="1" si="7"/>
        <v>2.5788148377827738</v>
      </c>
      <c r="F66">
        <f t="shared" ca="1" si="8"/>
        <v>8450</v>
      </c>
      <c r="G66">
        <f t="shared" ca="1" si="9"/>
        <v>88.60645670472276</v>
      </c>
      <c r="J66">
        <f t="shared" si="0"/>
        <v>65</v>
      </c>
      <c r="K66">
        <v>97.853463270806017</v>
      </c>
    </row>
    <row r="67" spans="1:11" x14ac:dyDescent="0.35">
      <c r="A67" t="str">
        <f ca="1">_xlfn.LET(_xlpm.r, RAND()+ROW()/100000 + $H$2/1000 + $H$2/1000,
 IF(_xlpm.r&lt;$B$5,"Small",
 IF(_xlpm.r&lt;$B$5+$B$6,"Medium","Large")))</f>
        <v>Small</v>
      </c>
      <c r="B67">
        <f t="shared" ca="1" si="1"/>
        <v>150</v>
      </c>
      <c r="C67">
        <f t="shared" ca="1" si="6"/>
        <v>75</v>
      </c>
      <c r="D67">
        <f ca="1">$B$2 * (1 - $D$2/2 + (RAND()+ROW()/100000 + $H$2/1000 + $H$2/1000) * $D$2)</f>
        <v>0.62975429931861771</v>
      </c>
      <c r="E67">
        <f t="shared" ca="1" si="7"/>
        <v>0.79396043908075031</v>
      </c>
      <c r="F67">
        <f t="shared" ca="1" si="8"/>
        <v>8525</v>
      </c>
      <c r="G67">
        <f t="shared" ca="1" si="9"/>
        <v>89.400417143803509</v>
      </c>
      <c r="J67">
        <f t="shared" si="0"/>
        <v>66</v>
      </c>
      <c r="K67">
        <v>104.74428569518381</v>
      </c>
    </row>
    <row r="68" spans="1:11" x14ac:dyDescent="0.35">
      <c r="A68" t="str">
        <f ca="1">_xlfn.LET(_xlpm.r, RAND()+ROW()/100000 + $H$2/1000 + $H$2/1000,
 IF(_xlpm.r&lt;$B$5,"Small",
 IF(_xlpm.r&lt;$B$5+$B$6,"Medium","Large")))</f>
        <v>Medium</v>
      </c>
      <c r="B68">
        <f t="shared" ca="1" si="1"/>
        <v>500</v>
      </c>
      <c r="C68">
        <f t="shared" ca="1" si="6"/>
        <v>200</v>
      </c>
      <c r="D68">
        <f ca="1">$B$2 * (1 - $D$2/2 + (RAND()+ROW()/100000 + $H$2/1000 + $H$2/1000) * $D$2)</f>
        <v>0.71737469235817009</v>
      </c>
      <c r="E68">
        <f t="shared" ca="1" si="7"/>
        <v>2.3232861214938638</v>
      </c>
      <c r="F68">
        <f t="shared" ca="1" si="8"/>
        <v>8725</v>
      </c>
      <c r="G68">
        <f t="shared" ca="1" si="9"/>
        <v>91.723703265297374</v>
      </c>
      <c r="J68">
        <f t="shared" ref="J68:J131" si="10">J67+1</f>
        <v>67</v>
      </c>
      <c r="K68">
        <v>97.76081347513059</v>
      </c>
    </row>
    <row r="69" spans="1:11" x14ac:dyDescent="0.35">
      <c r="A69" t="str">
        <f ca="1">_xlfn.LET(_xlpm.r, RAND()+ROW()/100000 + $H$2/1000 + $H$2/1000,
 IF(_xlpm.r&lt;$B$5,"Small",
 IF(_xlpm.r&lt;$B$5+$B$6,"Medium","Large")))</f>
        <v>Medium</v>
      </c>
      <c r="B69">
        <f t="shared" ca="1" si="1"/>
        <v>500</v>
      </c>
      <c r="C69">
        <f t="shared" ca="1" si="6"/>
        <v>200</v>
      </c>
      <c r="D69">
        <f ca="1">$B$2 * (1 - $D$2/2 + (RAND()+ROW()/100000 + $H$2/1000 + $H$2/1000) * $D$2)</f>
        <v>0.71180166943256762</v>
      </c>
      <c r="E69">
        <f t="shared" ca="1" si="7"/>
        <v>2.3414761979910725</v>
      </c>
      <c r="F69">
        <f t="shared" ca="1" si="8"/>
        <v>8925</v>
      </c>
      <c r="G69">
        <f t="shared" ca="1" si="9"/>
        <v>94.065179463288445</v>
      </c>
      <c r="J69">
        <f t="shared" si="10"/>
        <v>68</v>
      </c>
      <c r="K69">
        <v>101.72411418694051</v>
      </c>
    </row>
    <row r="70" spans="1:11" x14ac:dyDescent="0.35">
      <c r="A70" t="str">
        <f ca="1">_xlfn.LET(_xlpm.r, RAND()+ROW()/100000 + $H$2/1000 + $H$2/1000,
 IF(_xlpm.r&lt;$B$5,"Small",
 IF(_xlpm.r&lt;$B$5+$B$6,"Medium","Large")))</f>
        <v>Small</v>
      </c>
      <c r="B70">
        <f t="shared" ca="1" si="1"/>
        <v>150</v>
      </c>
      <c r="C70">
        <f t="shared" ca="1" si="6"/>
        <v>75</v>
      </c>
      <c r="D70">
        <f ca="1">$B$2 * (1 - $D$2/2 + (RAND()+ROW()/100000 + $H$2/1000 + $H$2/1000) * $D$2)</f>
        <v>0.62168274363825804</v>
      </c>
      <c r="E70">
        <f t="shared" ca="1" si="7"/>
        <v>0.80426874497732193</v>
      </c>
      <c r="F70">
        <f t="shared" ca="1" si="8"/>
        <v>9000</v>
      </c>
      <c r="G70">
        <f t="shared" ca="1" si="9"/>
        <v>94.869448208265766</v>
      </c>
      <c r="J70">
        <f t="shared" si="10"/>
        <v>69</v>
      </c>
      <c r="K70">
        <v>101.95743463389911</v>
      </c>
    </row>
    <row r="71" spans="1:11" x14ac:dyDescent="0.35">
      <c r="A71" t="str">
        <f ca="1">_xlfn.LET(_xlpm.r, RAND()+ROW()/100000 + $H$2/1000 + $H$2/1000,
 IF(_xlpm.r&lt;$B$5,"Small",
 IF(_xlpm.r&lt;$B$5+$B$6,"Medium","Large")))</f>
        <v>Small</v>
      </c>
      <c r="B71">
        <f t="shared" ca="1" si="1"/>
        <v>150</v>
      </c>
      <c r="C71">
        <f t="shared" ca="1" si="6"/>
        <v>75</v>
      </c>
      <c r="D71">
        <f ca="1">$B$2 * (1 - $D$2/2 + (RAND()+ROW()/100000 + $H$2/1000 + $H$2/1000) * $D$2)</f>
        <v>0.80026030467030052</v>
      </c>
      <c r="E71">
        <f t="shared" ca="1" si="7"/>
        <v>0.62479670312523516</v>
      </c>
      <c r="F71">
        <f t="shared" ca="1" si="8"/>
        <v>9075</v>
      </c>
      <c r="G71">
        <f t="shared" ca="1" si="9"/>
        <v>95.494244911391007</v>
      </c>
      <c r="J71">
        <f t="shared" si="10"/>
        <v>70</v>
      </c>
      <c r="K71">
        <v>102.06660822367523</v>
      </c>
    </row>
    <row r="72" spans="1:11" x14ac:dyDescent="0.35">
      <c r="A72" t="str">
        <f ca="1">_xlfn.LET(_xlpm.r, RAND()+ROW()/100000 + $H$2/1000 + $H$2/1000,
 IF(_xlpm.r&lt;$B$5,"Small",
 IF(_xlpm.r&lt;$B$5+$B$6,"Medium","Large")))</f>
        <v>Medium</v>
      </c>
      <c r="B72">
        <f t="shared" ca="1" si="1"/>
        <v>500</v>
      </c>
      <c r="C72">
        <f t="shared" ca="1" si="6"/>
        <v>200</v>
      </c>
      <c r="D72">
        <f ca="1">$B$2 * (1 - $D$2/2 + (RAND()+ROW()/100000 + $H$2/1000 + $H$2/1000) * $D$2)</f>
        <v>0.62326384239191812</v>
      </c>
      <c r="E72">
        <f t="shared" ca="1" si="7"/>
        <v>2.6740949070147413</v>
      </c>
      <c r="F72">
        <f t="shared" ca="1" si="8"/>
        <v>9275</v>
      </c>
      <c r="G72">
        <f t="shared" ca="1" si="9"/>
        <v>98.168339818405755</v>
      </c>
      <c r="J72">
        <f t="shared" si="10"/>
        <v>71</v>
      </c>
      <c r="K72">
        <v>103.73110653291636</v>
      </c>
    </row>
    <row r="73" spans="1:11" x14ac:dyDescent="0.35">
      <c r="A73" t="str">
        <f ca="1">_xlfn.LET(_xlpm.r, RAND()+ROW()/100000 + $H$2/1000 + $H$2/1000,
 IF(_xlpm.r&lt;$B$5,"Small",
 IF(_xlpm.r&lt;$B$5+$B$6,"Medium","Large")))</f>
        <v>Small</v>
      </c>
      <c r="B73">
        <f t="shared" ca="1" si="1"/>
        <v>150</v>
      </c>
      <c r="C73">
        <f t="shared" ca="1" si="6"/>
        <v>75</v>
      </c>
      <c r="D73">
        <f ca="1">$B$2 * (1 - $D$2/2 + (RAND()+ROW()/100000 + $H$2/1000 + $H$2/1000) * $D$2)</f>
        <v>0.68883775605778219</v>
      </c>
      <c r="E73">
        <f t="shared" ca="1" si="7"/>
        <v>0.72586032865198846</v>
      </c>
      <c r="F73">
        <f t="shared" ca="1" si="8"/>
        <v>9350</v>
      </c>
      <c r="G73">
        <f t="shared" ca="1" si="9"/>
        <v>98.894200147057745</v>
      </c>
      <c r="J73">
        <f t="shared" si="10"/>
        <v>72</v>
      </c>
      <c r="K73">
        <v>105.14960129233957</v>
      </c>
    </row>
    <row r="74" spans="1:11" x14ac:dyDescent="0.35">
      <c r="A74" t="str">
        <f ca="1">_xlfn.LET(_xlpm.r, RAND()+ROW()/100000 + $H$2/1000 + $H$2/1000,
 IF(_xlpm.r&lt;$B$5,"Small",
 IF(_xlpm.r&lt;$B$5+$B$6,"Medium","Large")))</f>
        <v>Medium</v>
      </c>
      <c r="B74">
        <f t="shared" ca="1" si="1"/>
        <v>500</v>
      </c>
      <c r="C74">
        <f t="shared" ca="1" si="6"/>
        <v>200</v>
      </c>
      <c r="D74">
        <f ca="1">$B$2 * (1 - $D$2/2 + (RAND()+ROW()/100000 + $H$2/1000 + $H$2/1000) * $D$2)</f>
        <v>0.61012114134359896</v>
      </c>
      <c r="E74">
        <f t="shared" ca="1" si="7"/>
        <v>2.7316979427992942</v>
      </c>
      <c r="F74">
        <f t="shared" ca="1" si="8"/>
        <v>9550</v>
      </c>
      <c r="G74">
        <f t="shared" ca="1" si="9"/>
        <v>101.62589808985705</v>
      </c>
      <c r="J74">
        <f t="shared" si="10"/>
        <v>73</v>
      </c>
      <c r="K74">
        <v>103.37401181540838</v>
      </c>
    </row>
    <row r="75" spans="1:11" x14ac:dyDescent="0.35">
      <c r="A75" t="str">
        <f ca="1">_xlfn.LET(_xlpm.r, RAND()+ROW()/100000 + $H$2/1000 + $H$2/1000,
 IF(_xlpm.r&lt;$B$5,"Small",
 IF(_xlpm.r&lt;$B$5+$B$6,"Medium","Large")))</f>
        <v>Medium</v>
      </c>
      <c r="B75">
        <f t="shared" ca="1" si="1"/>
        <v>500</v>
      </c>
      <c r="C75">
        <f t="shared" ca="1" si="6"/>
        <v>200</v>
      </c>
      <c r="D75">
        <f ca="1">$B$2 * (1 - $D$2/2 + (RAND()+ROW()/100000 + $H$2/1000 + $H$2/1000) * $D$2)</f>
        <v>0.65927587398847143</v>
      </c>
      <c r="E75">
        <f t="shared" ca="1" si="7"/>
        <v>2.5280261760281117</v>
      </c>
      <c r="F75">
        <f t="shared" ca="1" si="8"/>
        <v>9750</v>
      </c>
      <c r="G75">
        <f t="shared" ca="1" si="9"/>
        <v>104.15392426588515</v>
      </c>
      <c r="J75">
        <f t="shared" si="10"/>
        <v>74</v>
      </c>
      <c r="K75">
        <v>98.747210985657304</v>
      </c>
    </row>
    <row r="76" spans="1:11" x14ac:dyDescent="0.35">
      <c r="A76" t="str">
        <f ca="1">_xlfn.LET(_xlpm.r, RAND()+ROW()/100000 + $H$2/1000 + $H$2/1000,
 IF(_xlpm.r&lt;$B$5,"Small",
 IF(_xlpm.r&lt;$B$5+$B$6,"Medium","Large")))</f>
        <v>Small</v>
      </c>
      <c r="B76">
        <f t="shared" ref="B76:B100" ca="1" si="11">IF(A76="Small",$C$5,IF(A76="Medium",$C$6,$C$7))</f>
        <v>150</v>
      </c>
      <c r="C76">
        <f t="shared" ca="1" si="6"/>
        <v>75</v>
      </c>
      <c r="D76">
        <f ca="1">$B$2 * (1 - $D$2/2 + (RAND()+ROW()/100000 + $H$2/1000 + $H$2/1000) * $D$2)</f>
        <v>0.67998059388317877</v>
      </c>
      <c r="E76">
        <f t="shared" ca="1" si="7"/>
        <v>0.73531510236878961</v>
      </c>
      <c r="F76">
        <f t="shared" ca="1" si="8"/>
        <v>9825</v>
      </c>
      <c r="G76">
        <f t="shared" ca="1" si="9"/>
        <v>104.88923936825394</v>
      </c>
      <c r="J76">
        <f t="shared" si="10"/>
        <v>75</v>
      </c>
      <c r="K76">
        <v>98.217209404984118</v>
      </c>
    </row>
    <row r="77" spans="1:11" x14ac:dyDescent="0.35">
      <c r="A77" t="str">
        <f ca="1">_xlfn.LET(_xlpm.r, RAND()+ROW()/100000 + $H$2/1000 + $H$2/1000,
 IF(_xlpm.r&lt;$B$5,"Small",
 IF(_xlpm.r&lt;$B$5+$B$6,"Medium","Large")))</f>
        <v>Large</v>
      </c>
      <c r="B77">
        <f t="shared" ca="1" si="11"/>
        <v>1000</v>
      </c>
      <c r="C77">
        <f t="shared" ca="1" si="6"/>
        <v>500</v>
      </c>
      <c r="D77">
        <f ca="1">$B$2 * (1 - $D$2/2 + (RAND()+ROW()/100000 + $H$2/1000 + $H$2/1000) * $D$2)</f>
        <v>0.72680763430651885</v>
      </c>
      <c r="E77">
        <f t="shared" ca="1" si="7"/>
        <v>4.5862662635813152</v>
      </c>
      <c r="F77">
        <f t="shared" ca="1" si="8"/>
        <v>10325</v>
      </c>
      <c r="G77">
        <f t="shared" ca="1" si="9"/>
        <v>109.47550563183526</v>
      </c>
      <c r="J77">
        <f t="shared" si="10"/>
        <v>76</v>
      </c>
      <c r="K77">
        <v>97.915417297027261</v>
      </c>
    </row>
    <row r="78" spans="1:11" x14ac:dyDescent="0.35">
      <c r="A78" t="str">
        <f ca="1">_xlfn.LET(_xlpm.r, RAND()+ROW()/100000 + $H$2/1000 + $H$2/1000,
 IF(_xlpm.r&lt;$B$5,"Small",
 IF(_xlpm.r&lt;$B$5+$B$6,"Medium","Large")))</f>
        <v>Small</v>
      </c>
      <c r="B78">
        <f t="shared" ca="1" si="11"/>
        <v>150</v>
      </c>
      <c r="C78">
        <f t="shared" ca="1" si="6"/>
        <v>75</v>
      </c>
      <c r="D78">
        <f ca="1">$B$2 * (1 - $D$2/2 + (RAND()+ROW()/100000 + $H$2/1000 + $H$2/1000) * $D$2)</f>
        <v>0.72366129821543046</v>
      </c>
      <c r="E78">
        <f t="shared" ca="1" si="7"/>
        <v>0.69093096623104533</v>
      </c>
      <c r="F78">
        <f t="shared" ca="1" si="8"/>
        <v>10400</v>
      </c>
      <c r="G78">
        <f t="shared" ca="1" si="9"/>
        <v>110.16643659806631</v>
      </c>
      <c r="J78">
        <f t="shared" si="10"/>
        <v>77</v>
      </c>
      <c r="K78">
        <v>97.326518218752042</v>
      </c>
    </row>
    <row r="79" spans="1:11" x14ac:dyDescent="0.35">
      <c r="A79" t="str">
        <f ca="1">_xlfn.LET(_xlpm.r, RAND()+ROW()/100000 + $H$2/1000 + $H$2/1000,
 IF(_xlpm.r&lt;$B$5,"Small",
 IF(_xlpm.r&lt;$B$5+$B$6,"Medium","Large")))</f>
        <v>Small</v>
      </c>
      <c r="B79">
        <f t="shared" ca="1" si="11"/>
        <v>150</v>
      </c>
      <c r="C79">
        <f t="shared" ca="1" si="6"/>
        <v>75</v>
      </c>
      <c r="D79">
        <f ca="1">$B$2 * (1 - $D$2/2 + (RAND()+ROW()/100000 + $H$2/1000 + $H$2/1000) * $D$2)</f>
        <v>0.65957591547220285</v>
      </c>
      <c r="E79">
        <f t="shared" ca="1" si="7"/>
        <v>0.75806285261650375</v>
      </c>
      <c r="F79">
        <f t="shared" ca="1" si="8"/>
        <v>10475</v>
      </c>
      <c r="G79">
        <f t="shared" ca="1" si="9"/>
        <v>110.92449945068282</v>
      </c>
      <c r="J79">
        <f t="shared" si="10"/>
        <v>78</v>
      </c>
      <c r="K79">
        <v>94.920796715425112</v>
      </c>
    </row>
    <row r="80" spans="1:11" x14ac:dyDescent="0.35">
      <c r="A80" t="str">
        <f ca="1">_xlfn.LET(_xlpm.r, RAND()+ROW()/100000 + $H$2/1000 + $H$2/1000,
 IF(_xlpm.r&lt;$B$5,"Small",
 IF(_xlpm.r&lt;$B$5+$B$6,"Medium","Large")))</f>
        <v>Small</v>
      </c>
      <c r="B80">
        <f t="shared" ca="1" si="11"/>
        <v>150</v>
      </c>
      <c r="C80">
        <f t="shared" ca="1" si="6"/>
        <v>75</v>
      </c>
      <c r="D80">
        <f ca="1">$B$2 * (1 - $D$2/2 + (RAND()+ROW()/100000 + $H$2/1000 + $H$2/1000) * $D$2)</f>
        <v>0.71044012166647796</v>
      </c>
      <c r="E80">
        <f t="shared" ca="1" si="7"/>
        <v>0.70378908053102496</v>
      </c>
      <c r="F80">
        <f t="shared" ca="1" si="8"/>
        <v>10550</v>
      </c>
      <c r="G80">
        <f t="shared" ca="1" si="9"/>
        <v>111.62828853121384</v>
      </c>
      <c r="J80">
        <f t="shared" si="10"/>
        <v>79</v>
      </c>
      <c r="K80">
        <v>96.933264136117373</v>
      </c>
    </row>
    <row r="81" spans="1:11" x14ac:dyDescent="0.35">
      <c r="A81" t="str">
        <f ca="1">_xlfn.LET(_xlpm.r, RAND()+ROW()/100000 + $H$2/1000 + $H$2/1000,
 IF(_xlpm.r&lt;$B$5,"Small",
 IF(_xlpm.r&lt;$B$5+$B$6,"Medium","Large")))</f>
        <v>Small</v>
      </c>
      <c r="B81">
        <f t="shared" ca="1" si="11"/>
        <v>150</v>
      </c>
      <c r="C81">
        <f t="shared" ca="1" si="6"/>
        <v>75</v>
      </c>
      <c r="D81">
        <f ca="1">$B$2 * (1 - $D$2/2 + (RAND()+ROW()/100000 + $H$2/1000 + $H$2/1000) * $D$2)</f>
        <v>0.79973584327791192</v>
      </c>
      <c r="E81">
        <f t="shared" ca="1" si="7"/>
        <v>0.62520644060497321</v>
      </c>
      <c r="F81">
        <f t="shared" ca="1" si="8"/>
        <v>10625</v>
      </c>
      <c r="G81">
        <f t="shared" ca="1" si="9"/>
        <v>112.25349497181881</v>
      </c>
      <c r="J81">
        <f t="shared" si="10"/>
        <v>80</v>
      </c>
      <c r="K81">
        <v>92.787259309637264</v>
      </c>
    </row>
    <row r="82" spans="1:11" x14ac:dyDescent="0.35">
      <c r="A82" t="str">
        <f ca="1">_xlfn.LET(_xlpm.r, RAND()+ROW()/100000 + $H$2/1000 + $H$2/1000,
 IF(_xlpm.r&lt;$B$5,"Small",
 IF(_xlpm.r&lt;$B$5+$B$6,"Medium","Large")))</f>
        <v>Large</v>
      </c>
      <c r="B82">
        <f t="shared" ca="1" si="11"/>
        <v>1000</v>
      </c>
      <c r="C82">
        <f t="shared" ca="1" si="6"/>
        <v>500</v>
      </c>
      <c r="D82">
        <f ca="1">$B$2 * (1 - $D$2/2 + (RAND()+ROW()/100000 + $H$2/1000 + $H$2/1000) * $D$2)</f>
        <v>0.59820731813016359</v>
      </c>
      <c r="E82">
        <f t="shared" ca="1" si="7"/>
        <v>5.5722042046433726</v>
      </c>
      <c r="F82">
        <f t="shared" ca="1" si="8"/>
        <v>11125</v>
      </c>
      <c r="G82">
        <f t="shared" ca="1" si="9"/>
        <v>117.82569917646218</v>
      </c>
      <c r="J82">
        <f t="shared" si="10"/>
        <v>81</v>
      </c>
      <c r="K82">
        <v>102.64713094483864</v>
      </c>
    </row>
    <row r="83" spans="1:11" x14ac:dyDescent="0.35">
      <c r="A83" t="str">
        <f ca="1">_xlfn.LET(_xlpm.r, RAND()+ROW()/100000 + $H$2/1000 + $H$2/1000,
 IF(_xlpm.r&lt;$B$5,"Small",
 IF(_xlpm.r&lt;$B$5+$B$6,"Medium","Large")))</f>
        <v>Small</v>
      </c>
      <c r="B83">
        <f t="shared" ca="1" si="11"/>
        <v>150</v>
      </c>
      <c r="C83">
        <f t="shared" ref="C83:C100" ca="1" si="12">IF(A83="Small",$D$5,IF(A83="Medium",$D$6,$D$7))</f>
        <v>75</v>
      </c>
      <c r="D83">
        <f ca="1">$B$2 * (1 - $D$2/2 + (RAND()+ROW()/100000 + $H$2/1000 + $H$2/1000) * $D$2)</f>
        <v>0.72354824881591728</v>
      </c>
      <c r="E83">
        <f t="shared" ref="E83:E100" ca="1" si="13">B83 / ($A$2 * D83)</f>
        <v>0.69103891940620032</v>
      </c>
      <c r="F83">
        <f t="shared" ref="F83:F100" ca="1" si="14">F82 + C83</f>
        <v>11200</v>
      </c>
      <c r="G83">
        <f t="shared" ref="G83:G100" ca="1" si="15">G82 + E83</f>
        <v>118.51673809586838</v>
      </c>
      <c r="J83">
        <f t="shared" si="10"/>
        <v>82</v>
      </c>
      <c r="K83">
        <v>99.72314751984959</v>
      </c>
    </row>
    <row r="84" spans="1:11" x14ac:dyDescent="0.35">
      <c r="A84" t="str">
        <f ca="1">_xlfn.LET(_xlpm.r, RAND()+ROW()/100000 + $H$2/1000 + $H$2/1000,
 IF(_xlpm.r&lt;$B$5,"Small",
 IF(_xlpm.r&lt;$B$5+$B$6,"Medium","Large")))</f>
        <v>Small</v>
      </c>
      <c r="B84">
        <f t="shared" ca="1" si="11"/>
        <v>150</v>
      </c>
      <c r="C84">
        <f t="shared" ca="1" si="12"/>
        <v>75</v>
      </c>
      <c r="D84">
        <f ca="1">$B$2 * (1 - $D$2/2 + (RAND()+ROW()/100000 + $H$2/1000 + $H$2/1000) * $D$2)</f>
        <v>0.71905038810690902</v>
      </c>
      <c r="E84">
        <f t="shared" ca="1" si="13"/>
        <v>0.69536156056654486</v>
      </c>
      <c r="F84">
        <f t="shared" ca="1" si="14"/>
        <v>11275</v>
      </c>
      <c r="G84">
        <f t="shared" ca="1" si="15"/>
        <v>119.21209965643492</v>
      </c>
      <c r="J84">
        <f t="shared" si="10"/>
        <v>83</v>
      </c>
      <c r="K84">
        <v>103.07878820184841</v>
      </c>
    </row>
    <row r="85" spans="1:11" x14ac:dyDescent="0.35">
      <c r="A85" t="str">
        <f ca="1">_xlfn.LET(_xlpm.r, RAND()+ROW()/100000 + $H$2/1000 + $H$2/1000,
 IF(_xlpm.r&lt;$B$5,"Small",
 IF(_xlpm.r&lt;$B$5+$B$6,"Medium","Large")))</f>
        <v>Small</v>
      </c>
      <c r="B85">
        <f t="shared" ca="1" si="11"/>
        <v>150</v>
      </c>
      <c r="C85">
        <f t="shared" ca="1" si="12"/>
        <v>75</v>
      </c>
      <c r="D85">
        <f ca="1">$B$2 * (1 - $D$2/2 + (RAND()+ROW()/100000 + $H$2/1000 + $H$2/1000) * $D$2)</f>
        <v>0.77315007400827862</v>
      </c>
      <c r="E85">
        <f t="shared" ca="1" si="13"/>
        <v>0.64670497592766985</v>
      </c>
      <c r="F85">
        <f t="shared" ca="1" si="14"/>
        <v>11350</v>
      </c>
      <c r="G85">
        <f t="shared" ca="1" si="15"/>
        <v>119.85880463236259</v>
      </c>
      <c r="J85">
        <f t="shared" si="10"/>
        <v>84</v>
      </c>
      <c r="K85">
        <v>94.821936529291804</v>
      </c>
    </row>
    <row r="86" spans="1:11" x14ac:dyDescent="0.35">
      <c r="A86" t="str">
        <f ca="1">_xlfn.LET(_xlpm.r, RAND()+ROW()/100000 + $H$2/1000 + $H$2/1000,
 IF(_xlpm.r&lt;$B$5,"Small",
 IF(_xlpm.r&lt;$B$5+$B$6,"Medium","Large")))</f>
        <v>Large</v>
      </c>
      <c r="B86">
        <f t="shared" ca="1" si="11"/>
        <v>1000</v>
      </c>
      <c r="C86">
        <f t="shared" ca="1" si="12"/>
        <v>500</v>
      </c>
      <c r="D86">
        <f ca="1">$B$2 * (1 - $D$2/2 + (RAND()+ROW()/100000 + $H$2/1000 + $H$2/1000) * $D$2)</f>
        <v>0.77326151112743646</v>
      </c>
      <c r="E86">
        <f t="shared" ca="1" si="13"/>
        <v>4.3107451817603621</v>
      </c>
      <c r="F86">
        <f t="shared" ca="1" si="14"/>
        <v>11850</v>
      </c>
      <c r="G86">
        <f t="shared" ca="1" si="15"/>
        <v>124.16954981412296</v>
      </c>
      <c r="J86">
        <f t="shared" si="10"/>
        <v>85</v>
      </c>
      <c r="K86">
        <v>103.35671047375772</v>
      </c>
    </row>
    <row r="87" spans="1:11" x14ac:dyDescent="0.35">
      <c r="A87" t="str">
        <f ca="1">_xlfn.LET(_xlpm.r, RAND()+ROW()/100000 + $H$2/1000 + $H$2/1000,
 IF(_xlpm.r&lt;$B$5,"Small",
 IF(_xlpm.r&lt;$B$5+$B$6,"Medium","Large")))</f>
        <v>Small</v>
      </c>
      <c r="B87">
        <f t="shared" ca="1" si="11"/>
        <v>150</v>
      </c>
      <c r="C87">
        <f t="shared" ca="1" si="12"/>
        <v>75</v>
      </c>
      <c r="D87">
        <f ca="1">$B$2 * (1 - $D$2/2 + (RAND()+ROW()/100000 + $H$2/1000 + $H$2/1000) * $D$2)</f>
        <v>0.76105598658075257</v>
      </c>
      <c r="E87">
        <f t="shared" ca="1" si="13"/>
        <v>0.65698188939605295</v>
      </c>
      <c r="F87">
        <f t="shared" ca="1" si="14"/>
        <v>11925</v>
      </c>
      <c r="G87">
        <f t="shared" ca="1" si="15"/>
        <v>124.82653170351901</v>
      </c>
      <c r="J87">
        <f t="shared" si="10"/>
        <v>86</v>
      </c>
      <c r="K87">
        <v>96.838572417464491</v>
      </c>
    </row>
    <row r="88" spans="1:11" x14ac:dyDescent="0.35">
      <c r="A88" t="str">
        <f ca="1">_xlfn.LET(_xlpm.r, RAND()+ROW()/100000 + $H$2/1000 + $H$2/1000,
 IF(_xlpm.r&lt;$B$5,"Small",
 IF(_xlpm.r&lt;$B$5+$B$6,"Medium","Large")))</f>
        <v>Small</v>
      </c>
      <c r="B88">
        <f t="shared" ca="1" si="11"/>
        <v>150</v>
      </c>
      <c r="C88">
        <f t="shared" ca="1" si="12"/>
        <v>75</v>
      </c>
      <c r="D88">
        <f ca="1">$B$2 * (1 - $D$2/2 + (RAND()+ROW()/100000 + $H$2/1000 + $H$2/1000) * $D$2)</f>
        <v>0.78311038887953044</v>
      </c>
      <c r="E88">
        <f t="shared" ca="1" si="13"/>
        <v>0.63847958997887511</v>
      </c>
      <c r="F88">
        <f t="shared" ca="1" si="14"/>
        <v>12000</v>
      </c>
      <c r="G88">
        <f t="shared" ca="1" si="15"/>
        <v>125.46501129349788</v>
      </c>
      <c r="J88">
        <f t="shared" si="10"/>
        <v>87</v>
      </c>
      <c r="K88">
        <v>103.70003512528716</v>
      </c>
    </row>
    <row r="89" spans="1:11" x14ac:dyDescent="0.35">
      <c r="A89" t="str">
        <f ca="1">_xlfn.LET(_xlpm.r, RAND()+ROW()/100000 + $H$2/1000 + $H$2/1000,
 IF(_xlpm.r&lt;$B$5,"Small",
 IF(_xlpm.r&lt;$B$5+$B$6,"Medium","Large")))</f>
        <v>Large</v>
      </c>
      <c r="B89">
        <f t="shared" ca="1" si="11"/>
        <v>1000</v>
      </c>
      <c r="C89">
        <f t="shared" ca="1" si="12"/>
        <v>500</v>
      </c>
      <c r="D89">
        <f ca="1">$B$2 * (1 - $D$2/2 + (RAND()+ROW()/100000 + $H$2/1000 + $H$2/1000) * $D$2)</f>
        <v>0.67884661655075407</v>
      </c>
      <c r="E89">
        <f t="shared" ca="1" si="13"/>
        <v>4.9102893821142235</v>
      </c>
      <c r="F89">
        <f t="shared" ca="1" si="14"/>
        <v>12500</v>
      </c>
      <c r="G89">
        <f t="shared" ca="1" si="15"/>
        <v>130.3753006756121</v>
      </c>
      <c r="J89">
        <f t="shared" si="10"/>
        <v>88</v>
      </c>
      <c r="K89">
        <v>99.167806726751991</v>
      </c>
    </row>
    <row r="90" spans="1:11" x14ac:dyDescent="0.35">
      <c r="A90" t="str">
        <f ca="1">_xlfn.LET(_xlpm.r, RAND()+ROW()/100000 + $H$2/1000 + $H$2/1000,
 IF(_xlpm.r&lt;$B$5,"Small",
 IF(_xlpm.r&lt;$B$5+$B$6,"Medium","Large")))</f>
        <v>Small</v>
      </c>
      <c r="B90">
        <f t="shared" ca="1" si="11"/>
        <v>150</v>
      </c>
      <c r="C90">
        <f t="shared" ca="1" si="12"/>
        <v>75</v>
      </c>
      <c r="D90">
        <f ca="1">$B$2 * (1 - $D$2/2 + (RAND()+ROW()/100000 + $H$2/1000 + $H$2/1000) * $D$2)</f>
        <v>0.72909000901102983</v>
      </c>
      <c r="E90">
        <f t="shared" ca="1" si="13"/>
        <v>0.68578638277902371</v>
      </c>
      <c r="F90">
        <f t="shared" ca="1" si="14"/>
        <v>12575</v>
      </c>
      <c r="G90">
        <f t="shared" ca="1" si="15"/>
        <v>131.06108705839111</v>
      </c>
      <c r="J90">
        <f t="shared" si="10"/>
        <v>89</v>
      </c>
      <c r="K90">
        <v>101.41741032837169</v>
      </c>
    </row>
    <row r="91" spans="1:11" x14ac:dyDescent="0.35">
      <c r="A91" t="str">
        <f ca="1">_xlfn.LET(_xlpm.r, RAND()+ROW()/100000 + $H$2/1000 + $H$2/1000,
 IF(_xlpm.r&lt;$B$5,"Small",
 IF(_xlpm.r&lt;$B$5+$B$6,"Medium","Large")))</f>
        <v>Small</v>
      </c>
      <c r="B91">
        <f t="shared" ca="1" si="11"/>
        <v>150</v>
      </c>
      <c r="C91">
        <f t="shared" ca="1" si="12"/>
        <v>75</v>
      </c>
      <c r="D91">
        <f ca="1">$B$2 * (1 - $D$2/2 + (RAND()+ROW()/100000 + $H$2/1000 + $H$2/1000) * $D$2)</f>
        <v>0.70666811511756433</v>
      </c>
      <c r="E91">
        <f t="shared" ca="1" si="13"/>
        <v>0.70754571955863299</v>
      </c>
      <c r="F91">
        <f t="shared" ca="1" si="14"/>
        <v>12650</v>
      </c>
      <c r="G91">
        <f t="shared" ca="1" si="15"/>
        <v>131.76863277794973</v>
      </c>
      <c r="J91">
        <f t="shared" si="10"/>
        <v>90</v>
      </c>
      <c r="K91">
        <v>96.496210008290461</v>
      </c>
    </row>
    <row r="92" spans="1:11" x14ac:dyDescent="0.35">
      <c r="A92" t="str">
        <f ca="1">_xlfn.LET(_xlpm.r, RAND()+ROW()/100000 + $H$2/1000 + $H$2/1000,
 IF(_xlpm.r&lt;$B$5,"Small",
 IF(_xlpm.r&lt;$B$5+$B$6,"Medium","Large")))</f>
        <v>Small</v>
      </c>
      <c r="B92">
        <f t="shared" ca="1" si="11"/>
        <v>150</v>
      </c>
      <c r="C92">
        <f t="shared" ca="1" si="12"/>
        <v>75</v>
      </c>
      <c r="D92">
        <f ca="1">$B$2 * (1 - $D$2/2 + (RAND()+ROW()/100000 + $H$2/1000 + $H$2/1000) * $D$2)</f>
        <v>0.68574609625437388</v>
      </c>
      <c r="E92">
        <f t="shared" ca="1" si="13"/>
        <v>0.72913284192364936</v>
      </c>
      <c r="F92">
        <f t="shared" ca="1" si="14"/>
        <v>12725</v>
      </c>
      <c r="G92">
        <f t="shared" ca="1" si="15"/>
        <v>132.49776561987338</v>
      </c>
      <c r="J92">
        <f t="shared" si="10"/>
        <v>91</v>
      </c>
      <c r="K92">
        <v>98.197859548369422</v>
      </c>
    </row>
    <row r="93" spans="1:11" x14ac:dyDescent="0.35">
      <c r="A93" t="str">
        <f ca="1">_xlfn.LET(_xlpm.r, RAND()+ROW()/100000 + $H$2/1000 + $H$2/1000,
 IF(_xlpm.r&lt;$B$5,"Small",
 IF(_xlpm.r&lt;$B$5+$B$6,"Medium","Large")))</f>
        <v>Small</v>
      </c>
      <c r="B93">
        <f t="shared" ca="1" si="11"/>
        <v>150</v>
      </c>
      <c r="C93">
        <f t="shared" ca="1" si="12"/>
        <v>75</v>
      </c>
      <c r="D93">
        <f ca="1">$B$2 * (1 - $D$2/2 + (RAND()+ROW()/100000 + $H$2/1000 + $H$2/1000) * $D$2)</f>
        <v>0.68116229043100163</v>
      </c>
      <c r="E93">
        <f t="shared" ca="1" si="13"/>
        <v>0.73403946023439992</v>
      </c>
      <c r="F93">
        <f t="shared" ca="1" si="14"/>
        <v>12800</v>
      </c>
      <c r="G93">
        <f t="shared" ca="1" si="15"/>
        <v>133.23180508010779</v>
      </c>
      <c r="J93">
        <f t="shared" si="10"/>
        <v>92</v>
      </c>
      <c r="K93">
        <v>94.205453383243182</v>
      </c>
    </row>
    <row r="94" spans="1:11" x14ac:dyDescent="0.35">
      <c r="A94" t="str">
        <f ca="1">_xlfn.LET(_xlpm.r, RAND()+ROW()/100000 + $H$2/1000 + $H$2/1000,
 IF(_xlpm.r&lt;$B$5,"Small",
 IF(_xlpm.r&lt;$B$5+$B$6,"Medium","Large")))</f>
        <v>Large</v>
      </c>
      <c r="B94">
        <f t="shared" ca="1" si="11"/>
        <v>1000</v>
      </c>
      <c r="C94">
        <f t="shared" ca="1" si="12"/>
        <v>500</v>
      </c>
      <c r="D94">
        <f ca="1">$B$2 * (1 - $D$2/2 + (RAND()+ROW()/100000 + $H$2/1000 + $H$2/1000) * $D$2)</f>
        <v>0.60018425993746183</v>
      </c>
      <c r="E94">
        <f t="shared" ca="1" si="13"/>
        <v>5.553849968809013</v>
      </c>
      <c r="F94">
        <f t="shared" ca="1" si="14"/>
        <v>13300</v>
      </c>
      <c r="G94">
        <f t="shared" ca="1" si="15"/>
        <v>138.78565504891679</v>
      </c>
      <c r="J94">
        <f t="shared" si="10"/>
        <v>93</v>
      </c>
      <c r="K94">
        <v>96.951455995588248</v>
      </c>
    </row>
    <row r="95" spans="1:11" x14ac:dyDescent="0.35">
      <c r="A95" t="str">
        <f ca="1">_xlfn.LET(_xlpm.r, RAND()+ROW()/100000 + $H$2/1000 + $H$2/1000,
 IF(_xlpm.r&lt;$B$5,"Small",
 IF(_xlpm.r&lt;$B$5+$B$6,"Medium","Large")))</f>
        <v>Medium</v>
      </c>
      <c r="B95">
        <f t="shared" ca="1" si="11"/>
        <v>500</v>
      </c>
      <c r="C95">
        <f t="shared" ca="1" si="12"/>
        <v>200</v>
      </c>
      <c r="D95">
        <f ca="1">$B$2 * (1 - $D$2/2 + (RAND()+ROW()/100000 + $H$2/1000 + $H$2/1000) * $D$2)</f>
        <v>0.70927522718542735</v>
      </c>
      <c r="E95">
        <f t="shared" ca="1" si="13"/>
        <v>2.3498165490431635</v>
      </c>
      <c r="F95">
        <f t="shared" ca="1" si="14"/>
        <v>13500</v>
      </c>
      <c r="G95">
        <f t="shared" ca="1" si="15"/>
        <v>141.13547159795996</v>
      </c>
      <c r="J95">
        <f t="shared" si="10"/>
        <v>94</v>
      </c>
      <c r="K95">
        <v>94.037753232247653</v>
      </c>
    </row>
    <row r="96" spans="1:11" x14ac:dyDescent="0.35">
      <c r="A96" t="str">
        <f ca="1">_xlfn.LET(_xlpm.r, RAND()+ROW()/100000 + $H$2/1000 + $H$2/1000,
 IF(_xlpm.r&lt;$B$5,"Small",
 IF(_xlpm.r&lt;$B$5+$B$6,"Medium","Large")))</f>
        <v>Small</v>
      </c>
      <c r="B96">
        <f t="shared" ca="1" si="11"/>
        <v>150</v>
      </c>
      <c r="C96">
        <f t="shared" ca="1" si="12"/>
        <v>75</v>
      </c>
      <c r="D96">
        <f ca="1">$B$2 * (1 - $D$2/2 + (RAND()+ROW()/100000 + $H$2/1000 + $H$2/1000) * $D$2)</f>
        <v>0.67409536566751205</v>
      </c>
      <c r="E96">
        <f t="shared" ca="1" si="13"/>
        <v>0.74173481300362154</v>
      </c>
      <c r="F96">
        <f t="shared" ca="1" si="14"/>
        <v>13575</v>
      </c>
      <c r="G96">
        <f t="shared" ca="1" si="15"/>
        <v>141.87720641096359</v>
      </c>
      <c r="J96">
        <f t="shared" si="10"/>
        <v>95</v>
      </c>
      <c r="K96">
        <v>101.3964443073765</v>
      </c>
    </row>
    <row r="97" spans="1:11" x14ac:dyDescent="0.35">
      <c r="A97" t="str">
        <f ca="1">_xlfn.LET(_xlpm.r, RAND()+ROW()/100000 + $H$2/1000 + $H$2/1000,
 IF(_xlpm.r&lt;$B$5,"Small",
 IF(_xlpm.r&lt;$B$5+$B$6,"Medium","Large")))</f>
        <v>Medium</v>
      </c>
      <c r="B97">
        <f t="shared" ca="1" si="11"/>
        <v>500</v>
      </c>
      <c r="C97">
        <f t="shared" ca="1" si="12"/>
        <v>200</v>
      </c>
      <c r="D97">
        <f ca="1">$B$2 * (1 - $D$2/2 + (RAND()+ROW()/100000 + $H$2/1000 + $H$2/1000) * $D$2)</f>
        <v>0.69382194443927436</v>
      </c>
      <c r="E97">
        <f t="shared" ca="1" si="13"/>
        <v>2.4021532902272438</v>
      </c>
      <c r="F97">
        <f t="shared" ca="1" si="14"/>
        <v>13775</v>
      </c>
      <c r="G97">
        <f t="shared" ca="1" si="15"/>
        <v>144.27935970119083</v>
      </c>
      <c r="J97">
        <f t="shared" si="10"/>
        <v>96</v>
      </c>
      <c r="K97">
        <v>99.375363360702551</v>
      </c>
    </row>
    <row r="98" spans="1:11" x14ac:dyDescent="0.35">
      <c r="A98" t="str">
        <f ca="1">_xlfn.LET(_xlpm.r, RAND()+ROW()/100000 + $H$2/1000 + $H$2/1000,
 IF(_xlpm.r&lt;$B$5,"Small",
 IF(_xlpm.r&lt;$B$5+$B$6,"Medium","Large")))</f>
        <v>Large</v>
      </c>
      <c r="B98">
        <f t="shared" ca="1" si="11"/>
        <v>1000</v>
      </c>
      <c r="C98">
        <f t="shared" ca="1" si="12"/>
        <v>500</v>
      </c>
      <c r="D98">
        <f ca="1">$B$2 * (1 - $D$2/2 + (RAND()+ROW()/100000 + $H$2/1000 + $H$2/1000) * $D$2)</f>
        <v>0.61456302044422062</v>
      </c>
      <c r="E98">
        <f t="shared" ca="1" si="13"/>
        <v>5.4239080817520087</v>
      </c>
      <c r="F98">
        <f t="shared" ca="1" si="14"/>
        <v>14275</v>
      </c>
      <c r="G98">
        <f t="shared" ca="1" si="15"/>
        <v>149.70326778294285</v>
      </c>
      <c r="J98">
        <f t="shared" si="10"/>
        <v>97</v>
      </c>
      <c r="K98">
        <v>94.212516341040939</v>
      </c>
    </row>
    <row r="99" spans="1:11" x14ac:dyDescent="0.35">
      <c r="A99" t="str">
        <f ca="1">_xlfn.LET(_xlpm.r, RAND()+ROW()/100000 + $H$2/1000 + $H$2/1000,
 IF(_xlpm.r&lt;$B$5,"Small",
 IF(_xlpm.r&lt;$B$5+$B$6,"Medium","Large")))</f>
        <v>Small</v>
      </c>
      <c r="B99">
        <f t="shared" ca="1" si="11"/>
        <v>150</v>
      </c>
      <c r="C99">
        <f t="shared" ca="1" si="12"/>
        <v>75</v>
      </c>
      <c r="D99">
        <f ca="1">$B$2 * (1 - $D$2/2 + (RAND()+ROW()/100000 + $H$2/1000 + $H$2/1000) * $D$2)</f>
        <v>0.61483089444476258</v>
      </c>
      <c r="E99">
        <f t="shared" ca="1" si="13"/>
        <v>0.81323174309829815</v>
      </c>
      <c r="F99">
        <f t="shared" ca="1" si="14"/>
        <v>14350</v>
      </c>
      <c r="G99">
        <f t="shared" ca="1" si="15"/>
        <v>150.51649952604114</v>
      </c>
      <c r="J99">
        <f t="shared" si="10"/>
        <v>98</v>
      </c>
      <c r="K99">
        <v>95.179994634877318</v>
      </c>
    </row>
    <row r="100" spans="1:11" x14ac:dyDescent="0.35">
      <c r="A100" t="str">
        <f ca="1">_xlfn.LET(_xlpm.r, RAND()+ROW()/100000 + $H$2/1000 + $H$2/1000,
 IF(_xlpm.r&lt;$B$5,"Small",
 IF(_xlpm.r&lt;$B$5+$B$6,"Medium","Large")))</f>
        <v>Small</v>
      </c>
      <c r="B100">
        <f t="shared" ca="1" si="11"/>
        <v>150</v>
      </c>
      <c r="C100">
        <f t="shared" ca="1" si="12"/>
        <v>75</v>
      </c>
      <c r="D100">
        <f ca="1">$B$2 * (1 - $D$2/2 + (RAND()+ROW()/100000 + $H$2/1000 + $H$2/1000) * $D$2)</f>
        <v>0.74428146241146331</v>
      </c>
      <c r="E100">
        <f t="shared" ca="1" si="13"/>
        <v>0.671788866512953</v>
      </c>
      <c r="F100">
        <f t="shared" ca="1" si="14"/>
        <v>14425</v>
      </c>
      <c r="G100">
        <f t="shared" ca="1" si="15"/>
        <v>151.18828839255409</v>
      </c>
      <c r="J100">
        <f t="shared" si="10"/>
        <v>99</v>
      </c>
      <c r="K100">
        <v>98.280410198782747</v>
      </c>
    </row>
    <row r="101" spans="1:11" x14ac:dyDescent="0.35">
      <c r="J101">
        <f t="shared" si="10"/>
        <v>100</v>
      </c>
      <c r="K101">
        <v>98.077814694975629</v>
      </c>
    </row>
    <row r="102" spans="1:11" x14ac:dyDescent="0.35">
      <c r="J102">
        <f t="shared" si="10"/>
        <v>101</v>
      </c>
      <c r="K102">
        <v>93.518622661914108</v>
      </c>
    </row>
    <row r="103" spans="1:11" x14ac:dyDescent="0.35">
      <c r="J103">
        <f t="shared" si="10"/>
        <v>102</v>
      </c>
      <c r="K103">
        <v>97.776794502807306</v>
      </c>
    </row>
    <row r="104" spans="1:11" x14ac:dyDescent="0.35">
      <c r="J104">
        <f t="shared" si="10"/>
        <v>103</v>
      </c>
      <c r="K104">
        <v>95.445643419885769</v>
      </c>
    </row>
    <row r="105" spans="1:11" x14ac:dyDescent="0.35">
      <c r="J105">
        <f t="shared" si="10"/>
        <v>104</v>
      </c>
      <c r="K105">
        <v>97.503622235120616</v>
      </c>
    </row>
    <row r="106" spans="1:11" x14ac:dyDescent="0.35">
      <c r="J106">
        <f t="shared" si="10"/>
        <v>105</v>
      </c>
      <c r="K106">
        <v>95.885962281359653</v>
      </c>
    </row>
    <row r="107" spans="1:11" x14ac:dyDescent="0.35">
      <c r="J107">
        <f t="shared" si="10"/>
        <v>106</v>
      </c>
      <c r="K107">
        <v>96.804581756992761</v>
      </c>
    </row>
    <row r="108" spans="1:11" x14ac:dyDescent="0.35">
      <c r="J108">
        <f t="shared" si="10"/>
        <v>107</v>
      </c>
      <c r="K108">
        <v>97.337526593486913</v>
      </c>
    </row>
    <row r="109" spans="1:11" x14ac:dyDescent="0.35">
      <c r="J109">
        <f t="shared" si="10"/>
        <v>108</v>
      </c>
      <c r="K109">
        <v>98.023281753657102</v>
      </c>
    </row>
    <row r="110" spans="1:11" x14ac:dyDescent="0.35">
      <c r="J110">
        <f t="shared" si="10"/>
        <v>109</v>
      </c>
      <c r="K110">
        <v>95.405756828316598</v>
      </c>
    </row>
    <row r="111" spans="1:11" x14ac:dyDescent="0.35">
      <c r="J111">
        <f t="shared" si="10"/>
        <v>110</v>
      </c>
      <c r="K111">
        <v>96.894903595103116</v>
      </c>
    </row>
    <row r="112" spans="1:11" x14ac:dyDescent="0.35">
      <c r="J112">
        <f t="shared" si="10"/>
        <v>111</v>
      </c>
      <c r="K112">
        <v>96.120579987673025</v>
      </c>
    </row>
    <row r="113" spans="10:11" x14ac:dyDescent="0.35">
      <c r="J113">
        <f t="shared" si="10"/>
        <v>112</v>
      </c>
      <c r="K113">
        <v>97.047818066044385</v>
      </c>
    </row>
    <row r="114" spans="10:11" x14ac:dyDescent="0.35">
      <c r="J114">
        <f t="shared" si="10"/>
        <v>113</v>
      </c>
      <c r="K114">
        <v>102.57966016897139</v>
      </c>
    </row>
    <row r="115" spans="10:11" x14ac:dyDescent="0.35">
      <c r="J115">
        <f t="shared" si="10"/>
        <v>114</v>
      </c>
      <c r="K115">
        <v>94.485247694950289</v>
      </c>
    </row>
    <row r="116" spans="10:11" x14ac:dyDescent="0.35">
      <c r="J116">
        <f t="shared" si="10"/>
        <v>115</v>
      </c>
      <c r="K116">
        <v>95.407844716172818</v>
      </c>
    </row>
    <row r="117" spans="10:11" x14ac:dyDescent="0.35">
      <c r="J117">
        <f t="shared" si="10"/>
        <v>116</v>
      </c>
      <c r="K117">
        <v>100.27707679530322</v>
      </c>
    </row>
    <row r="118" spans="10:11" x14ac:dyDescent="0.35">
      <c r="J118">
        <f t="shared" si="10"/>
        <v>117</v>
      </c>
      <c r="K118">
        <v>97.155043202188082</v>
      </c>
    </row>
    <row r="119" spans="10:11" x14ac:dyDescent="0.35">
      <c r="J119">
        <f t="shared" si="10"/>
        <v>118</v>
      </c>
      <c r="K119">
        <v>96.040670116346689</v>
      </c>
    </row>
    <row r="120" spans="10:11" x14ac:dyDescent="0.35">
      <c r="J120">
        <f t="shared" si="10"/>
        <v>119</v>
      </c>
      <c r="K120">
        <v>95.75397437114718</v>
      </c>
    </row>
    <row r="121" spans="10:11" x14ac:dyDescent="0.35">
      <c r="J121">
        <f t="shared" si="10"/>
        <v>120</v>
      </c>
      <c r="K121">
        <v>99.048922117331259</v>
      </c>
    </row>
    <row r="122" spans="10:11" x14ac:dyDescent="0.35">
      <c r="J122">
        <f t="shared" si="10"/>
        <v>121</v>
      </c>
      <c r="K122">
        <v>99.730623423357486</v>
      </c>
    </row>
    <row r="123" spans="10:11" x14ac:dyDescent="0.35">
      <c r="J123">
        <f t="shared" si="10"/>
        <v>122</v>
      </c>
      <c r="K123">
        <v>99.343467422128114</v>
      </c>
    </row>
    <row r="124" spans="10:11" x14ac:dyDescent="0.35">
      <c r="J124">
        <f t="shared" si="10"/>
        <v>123</v>
      </c>
      <c r="K124">
        <v>94.271989475761671</v>
      </c>
    </row>
    <row r="125" spans="10:11" x14ac:dyDescent="0.35">
      <c r="J125">
        <f t="shared" si="10"/>
        <v>124</v>
      </c>
      <c r="K125">
        <v>101.79726319098403</v>
      </c>
    </row>
    <row r="126" spans="10:11" x14ac:dyDescent="0.35">
      <c r="J126">
        <f t="shared" si="10"/>
        <v>125</v>
      </c>
      <c r="K126">
        <v>94.642542245587407</v>
      </c>
    </row>
    <row r="127" spans="10:11" x14ac:dyDescent="0.35">
      <c r="J127">
        <f t="shared" si="10"/>
        <v>126</v>
      </c>
      <c r="K127">
        <v>93.821888199515868</v>
      </c>
    </row>
    <row r="128" spans="10:11" x14ac:dyDescent="0.35">
      <c r="J128">
        <f t="shared" si="10"/>
        <v>127</v>
      </c>
      <c r="K128">
        <v>92.902268539007864</v>
      </c>
    </row>
    <row r="129" spans="10:11" x14ac:dyDescent="0.35">
      <c r="J129">
        <f t="shared" si="10"/>
        <v>128</v>
      </c>
      <c r="K129">
        <v>97.229331025995165</v>
      </c>
    </row>
    <row r="130" spans="10:11" x14ac:dyDescent="0.35">
      <c r="J130">
        <f t="shared" si="10"/>
        <v>129</v>
      </c>
      <c r="K130">
        <v>95.769552529928319</v>
      </c>
    </row>
    <row r="131" spans="10:11" x14ac:dyDescent="0.35">
      <c r="J131">
        <f t="shared" si="10"/>
        <v>130</v>
      </c>
      <c r="K131">
        <v>100.3532152636301</v>
      </c>
    </row>
    <row r="132" spans="10:11" x14ac:dyDescent="0.35">
      <c r="J132">
        <f t="shared" ref="J132:J195" si="16">J131+1</f>
        <v>131</v>
      </c>
      <c r="K132">
        <v>100.67472378756405</v>
      </c>
    </row>
    <row r="133" spans="10:11" x14ac:dyDescent="0.35">
      <c r="J133">
        <f t="shared" si="16"/>
        <v>132</v>
      </c>
      <c r="K133">
        <v>100.59737078618839</v>
      </c>
    </row>
    <row r="134" spans="10:11" x14ac:dyDescent="0.35">
      <c r="J134">
        <f t="shared" si="16"/>
        <v>133</v>
      </c>
      <c r="K134">
        <v>90.983702539108208</v>
      </c>
    </row>
    <row r="135" spans="10:11" x14ac:dyDescent="0.35">
      <c r="J135">
        <f t="shared" si="16"/>
        <v>134</v>
      </c>
      <c r="K135">
        <v>94.680876275400024</v>
      </c>
    </row>
    <row r="136" spans="10:11" x14ac:dyDescent="0.35">
      <c r="J136">
        <f t="shared" si="16"/>
        <v>135</v>
      </c>
      <c r="K136">
        <v>100.42166575424059</v>
      </c>
    </row>
    <row r="137" spans="10:11" x14ac:dyDescent="0.35">
      <c r="J137">
        <f t="shared" si="16"/>
        <v>136</v>
      </c>
      <c r="K137">
        <v>95.825534285898968</v>
      </c>
    </row>
    <row r="138" spans="10:11" x14ac:dyDescent="0.35">
      <c r="J138">
        <f t="shared" si="16"/>
        <v>137</v>
      </c>
      <c r="K138">
        <v>97.774441684678209</v>
      </c>
    </row>
    <row r="139" spans="10:11" x14ac:dyDescent="0.35">
      <c r="J139">
        <f t="shared" si="16"/>
        <v>138</v>
      </c>
      <c r="K139">
        <v>94.088494485710683</v>
      </c>
    </row>
    <row r="140" spans="10:11" x14ac:dyDescent="0.35">
      <c r="J140">
        <f t="shared" si="16"/>
        <v>139</v>
      </c>
      <c r="K140">
        <v>93.774049026016328</v>
      </c>
    </row>
    <row r="141" spans="10:11" x14ac:dyDescent="0.35">
      <c r="J141">
        <f t="shared" si="16"/>
        <v>140</v>
      </c>
      <c r="K141">
        <v>92.220804465922185</v>
      </c>
    </row>
    <row r="142" spans="10:11" x14ac:dyDescent="0.35">
      <c r="J142">
        <f t="shared" si="16"/>
        <v>141</v>
      </c>
      <c r="K142">
        <v>97.170100181517398</v>
      </c>
    </row>
    <row r="143" spans="10:11" x14ac:dyDescent="0.35">
      <c r="J143">
        <f t="shared" si="16"/>
        <v>142</v>
      </c>
      <c r="K143">
        <v>92.556163242560089</v>
      </c>
    </row>
    <row r="144" spans="10:11" x14ac:dyDescent="0.35">
      <c r="J144">
        <f t="shared" si="16"/>
        <v>143</v>
      </c>
      <c r="K144">
        <v>99.51534197367296</v>
      </c>
    </row>
    <row r="145" spans="10:11" x14ac:dyDescent="0.35">
      <c r="J145">
        <f t="shared" si="16"/>
        <v>144</v>
      </c>
      <c r="K145">
        <v>92.838774236823198</v>
      </c>
    </row>
    <row r="146" spans="10:11" x14ac:dyDescent="0.35">
      <c r="J146">
        <f t="shared" si="16"/>
        <v>145</v>
      </c>
      <c r="K146">
        <v>93.888335471948551</v>
      </c>
    </row>
    <row r="147" spans="10:11" x14ac:dyDescent="0.35">
      <c r="J147">
        <f t="shared" si="16"/>
        <v>146</v>
      </c>
      <c r="K147">
        <v>89.179580111501551</v>
      </c>
    </row>
    <row r="148" spans="10:11" x14ac:dyDescent="0.35">
      <c r="J148">
        <f t="shared" si="16"/>
        <v>147</v>
      </c>
      <c r="K148">
        <v>94.636656560235195</v>
      </c>
    </row>
    <row r="149" spans="10:11" x14ac:dyDescent="0.35">
      <c r="J149">
        <f t="shared" si="16"/>
        <v>148</v>
      </c>
      <c r="K149">
        <v>96.158069990367053</v>
      </c>
    </row>
    <row r="150" spans="10:11" x14ac:dyDescent="0.35">
      <c r="J150">
        <f t="shared" si="16"/>
        <v>149</v>
      </c>
      <c r="K150">
        <v>92.232413156472688</v>
      </c>
    </row>
    <row r="151" spans="10:11" x14ac:dyDescent="0.35">
      <c r="J151">
        <f t="shared" si="16"/>
        <v>150</v>
      </c>
      <c r="K151">
        <v>94.942362069628189</v>
      </c>
    </row>
    <row r="152" spans="10:11" x14ac:dyDescent="0.35">
      <c r="J152">
        <f t="shared" si="16"/>
        <v>151</v>
      </c>
      <c r="K152">
        <v>94.779973321403673</v>
      </c>
    </row>
    <row r="153" spans="10:11" x14ac:dyDescent="0.35">
      <c r="J153">
        <f t="shared" si="16"/>
        <v>152</v>
      </c>
      <c r="K153">
        <v>94.143973933150335</v>
      </c>
    </row>
    <row r="154" spans="10:11" x14ac:dyDescent="0.35">
      <c r="J154">
        <f t="shared" si="16"/>
        <v>153</v>
      </c>
      <c r="K154">
        <v>89.508204167625266</v>
      </c>
    </row>
    <row r="155" spans="10:11" x14ac:dyDescent="0.35">
      <c r="J155">
        <f t="shared" si="16"/>
        <v>154</v>
      </c>
      <c r="K155">
        <v>96.244147842767404</v>
      </c>
    </row>
    <row r="156" spans="10:11" x14ac:dyDescent="0.35">
      <c r="J156">
        <f t="shared" si="16"/>
        <v>155</v>
      </c>
      <c r="K156">
        <v>91.045622486090778</v>
      </c>
    </row>
    <row r="157" spans="10:11" x14ac:dyDescent="0.35">
      <c r="J157">
        <f t="shared" si="16"/>
        <v>156</v>
      </c>
      <c r="K157">
        <v>90.269948056023992</v>
      </c>
    </row>
    <row r="158" spans="10:11" x14ac:dyDescent="0.35">
      <c r="J158">
        <f t="shared" si="16"/>
        <v>157</v>
      </c>
      <c r="K158">
        <v>99.208625560949898</v>
      </c>
    </row>
    <row r="159" spans="10:11" x14ac:dyDescent="0.35">
      <c r="J159">
        <f t="shared" si="16"/>
        <v>158</v>
      </c>
      <c r="K159">
        <v>96.088140010584098</v>
      </c>
    </row>
    <row r="160" spans="10:11" x14ac:dyDescent="0.35">
      <c r="J160">
        <f t="shared" si="16"/>
        <v>159</v>
      </c>
      <c r="K160">
        <v>97.628878540876883</v>
      </c>
    </row>
    <row r="161" spans="10:11" x14ac:dyDescent="0.35">
      <c r="J161">
        <f t="shared" si="16"/>
        <v>160</v>
      </c>
      <c r="K161">
        <v>95.777376630555636</v>
      </c>
    </row>
    <row r="162" spans="10:11" x14ac:dyDescent="0.35">
      <c r="J162">
        <f t="shared" si="16"/>
        <v>161</v>
      </c>
      <c r="K162">
        <v>92.833383598027183</v>
      </c>
    </row>
    <row r="163" spans="10:11" x14ac:dyDescent="0.35">
      <c r="J163">
        <f t="shared" si="16"/>
        <v>162</v>
      </c>
      <c r="K163">
        <v>94.862207946382156</v>
      </c>
    </row>
    <row r="164" spans="10:11" x14ac:dyDescent="0.35">
      <c r="J164">
        <f t="shared" si="16"/>
        <v>163</v>
      </c>
      <c r="K164">
        <v>94.428134094914626</v>
      </c>
    </row>
    <row r="165" spans="10:11" x14ac:dyDescent="0.35">
      <c r="J165">
        <f t="shared" si="16"/>
        <v>164</v>
      </c>
      <c r="K165">
        <v>91.916485647665468</v>
      </c>
    </row>
    <row r="166" spans="10:11" x14ac:dyDescent="0.35">
      <c r="J166">
        <f t="shared" si="16"/>
        <v>165</v>
      </c>
      <c r="K166">
        <v>95.598326389972513</v>
      </c>
    </row>
    <row r="167" spans="10:11" x14ac:dyDescent="0.35">
      <c r="J167">
        <f t="shared" si="16"/>
        <v>166</v>
      </c>
      <c r="K167">
        <v>89.920521101426132</v>
      </c>
    </row>
    <row r="168" spans="10:11" x14ac:dyDescent="0.35">
      <c r="J168">
        <f t="shared" si="16"/>
        <v>167</v>
      </c>
      <c r="K168">
        <v>94.885281860235779</v>
      </c>
    </row>
    <row r="169" spans="10:11" x14ac:dyDescent="0.35">
      <c r="J169">
        <f t="shared" si="16"/>
        <v>168</v>
      </c>
      <c r="K169">
        <v>90.192440303989784</v>
      </c>
    </row>
    <row r="170" spans="10:11" x14ac:dyDescent="0.35">
      <c r="J170">
        <f t="shared" si="16"/>
        <v>169</v>
      </c>
      <c r="K170">
        <v>94.961199438493523</v>
      </c>
    </row>
    <row r="171" spans="10:11" x14ac:dyDescent="0.35">
      <c r="J171">
        <f t="shared" si="16"/>
        <v>170</v>
      </c>
      <c r="K171">
        <v>92.272776473495441</v>
      </c>
    </row>
    <row r="172" spans="10:11" x14ac:dyDescent="0.35">
      <c r="J172">
        <f t="shared" si="16"/>
        <v>171</v>
      </c>
      <c r="K172">
        <v>92.822916859081587</v>
      </c>
    </row>
    <row r="173" spans="10:11" x14ac:dyDescent="0.35">
      <c r="J173">
        <f t="shared" si="16"/>
        <v>172</v>
      </c>
      <c r="K173">
        <v>96.027265415366017</v>
      </c>
    </row>
    <row r="174" spans="10:11" x14ac:dyDescent="0.35">
      <c r="J174">
        <f t="shared" si="16"/>
        <v>173</v>
      </c>
      <c r="K174">
        <v>93.917022235881802</v>
      </c>
    </row>
    <row r="175" spans="10:11" x14ac:dyDescent="0.35">
      <c r="J175">
        <f t="shared" si="16"/>
        <v>174</v>
      </c>
      <c r="K175">
        <v>91.721909185156491</v>
      </c>
    </row>
    <row r="176" spans="10:11" x14ac:dyDescent="0.35">
      <c r="J176">
        <f t="shared" si="16"/>
        <v>175</v>
      </c>
      <c r="K176">
        <v>93.716544896947767</v>
      </c>
    </row>
    <row r="177" spans="10:11" x14ac:dyDescent="0.35">
      <c r="J177">
        <f t="shared" si="16"/>
        <v>176</v>
      </c>
      <c r="K177">
        <v>94.129782553009363</v>
      </c>
    </row>
    <row r="178" spans="10:11" x14ac:dyDescent="0.35">
      <c r="J178">
        <f t="shared" si="16"/>
        <v>177</v>
      </c>
      <c r="K178">
        <v>94.816351684491949</v>
      </c>
    </row>
    <row r="179" spans="10:11" x14ac:dyDescent="0.35">
      <c r="J179">
        <f t="shared" si="16"/>
        <v>178</v>
      </c>
      <c r="K179">
        <v>90.738060319602397</v>
      </c>
    </row>
    <row r="180" spans="10:11" x14ac:dyDescent="0.35">
      <c r="J180">
        <f t="shared" si="16"/>
        <v>179</v>
      </c>
      <c r="K180">
        <v>93.234870398844407</v>
      </c>
    </row>
    <row r="181" spans="10:11" x14ac:dyDescent="0.35">
      <c r="J181">
        <f t="shared" si="16"/>
        <v>180</v>
      </c>
      <c r="K181">
        <v>88.134988446254724</v>
      </c>
    </row>
    <row r="182" spans="10:11" x14ac:dyDescent="0.35">
      <c r="J182">
        <f t="shared" si="16"/>
        <v>181</v>
      </c>
      <c r="K182">
        <v>96.990363965424606</v>
      </c>
    </row>
    <row r="183" spans="10:11" x14ac:dyDescent="0.35">
      <c r="J183">
        <f t="shared" si="16"/>
        <v>182</v>
      </c>
      <c r="K183">
        <v>95.141771686527932</v>
      </c>
    </row>
    <row r="184" spans="10:11" x14ac:dyDescent="0.35">
      <c r="J184">
        <f t="shared" si="16"/>
        <v>183</v>
      </c>
      <c r="K184">
        <v>88.77237069417653</v>
      </c>
    </row>
    <row r="185" spans="10:11" x14ac:dyDescent="0.35">
      <c r="J185">
        <f t="shared" si="16"/>
        <v>184</v>
      </c>
      <c r="K185">
        <v>93.350701908984362</v>
      </c>
    </row>
    <row r="186" spans="10:11" x14ac:dyDescent="0.35">
      <c r="J186">
        <f t="shared" si="16"/>
        <v>185</v>
      </c>
      <c r="K186">
        <v>93.578309115547839</v>
      </c>
    </row>
    <row r="187" spans="10:11" x14ac:dyDescent="0.35">
      <c r="J187">
        <f t="shared" si="16"/>
        <v>186</v>
      </c>
      <c r="K187">
        <v>93.329912295557975</v>
      </c>
    </row>
    <row r="188" spans="10:11" x14ac:dyDescent="0.35">
      <c r="J188">
        <f t="shared" si="16"/>
        <v>187</v>
      </c>
      <c r="K188">
        <v>93.059709115980937</v>
      </c>
    </row>
    <row r="189" spans="10:11" x14ac:dyDescent="0.35">
      <c r="J189">
        <f t="shared" si="16"/>
        <v>188</v>
      </c>
      <c r="K189">
        <v>93.47217272292886</v>
      </c>
    </row>
    <row r="190" spans="10:11" x14ac:dyDescent="0.35">
      <c r="J190">
        <f t="shared" si="16"/>
        <v>189</v>
      </c>
      <c r="K190">
        <v>90.406770082509937</v>
      </c>
    </row>
    <row r="191" spans="10:11" x14ac:dyDescent="0.35">
      <c r="J191">
        <f t="shared" si="16"/>
        <v>190</v>
      </c>
      <c r="K191">
        <v>92.255306431384</v>
      </c>
    </row>
    <row r="192" spans="10:11" x14ac:dyDescent="0.35">
      <c r="J192">
        <f t="shared" si="16"/>
        <v>191</v>
      </c>
      <c r="K192">
        <v>92.090566402221697</v>
      </c>
    </row>
    <row r="193" spans="10:11" x14ac:dyDescent="0.35">
      <c r="J193">
        <f t="shared" si="16"/>
        <v>192</v>
      </c>
      <c r="K193">
        <v>90.147603191246134</v>
      </c>
    </row>
    <row r="194" spans="10:11" x14ac:dyDescent="0.35">
      <c r="J194">
        <f t="shared" si="16"/>
        <v>193</v>
      </c>
      <c r="K194">
        <v>95.224484342325979</v>
      </c>
    </row>
    <row r="195" spans="10:11" x14ac:dyDescent="0.35">
      <c r="J195">
        <f t="shared" si="16"/>
        <v>194</v>
      </c>
      <c r="K195">
        <v>88.443125160621861</v>
      </c>
    </row>
    <row r="196" spans="10:11" x14ac:dyDescent="0.35">
      <c r="J196">
        <f t="shared" ref="J196:J201" si="17">J195+1</f>
        <v>195</v>
      </c>
      <c r="K196">
        <v>95.97769430636329</v>
      </c>
    </row>
    <row r="197" spans="10:11" x14ac:dyDescent="0.35">
      <c r="J197">
        <f t="shared" si="17"/>
        <v>196</v>
      </c>
      <c r="K197">
        <v>90.805292244603621</v>
      </c>
    </row>
    <row r="198" spans="10:11" x14ac:dyDescent="0.35">
      <c r="J198">
        <f t="shared" si="17"/>
        <v>197</v>
      </c>
      <c r="K198">
        <v>89.03987050310694</v>
      </c>
    </row>
    <row r="199" spans="10:11" x14ac:dyDescent="0.35">
      <c r="J199">
        <f t="shared" si="17"/>
        <v>198</v>
      </c>
      <c r="K199">
        <v>96.880012595375476</v>
      </c>
    </row>
    <row r="200" spans="10:11" x14ac:dyDescent="0.35">
      <c r="J200">
        <f t="shared" si="17"/>
        <v>199</v>
      </c>
      <c r="K200">
        <v>88.43700557957861</v>
      </c>
    </row>
    <row r="201" spans="10:11" x14ac:dyDescent="0.35">
      <c r="J201">
        <f t="shared" si="17"/>
        <v>200</v>
      </c>
      <c r="K201">
        <v>90.933461854409614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0796C-25A0-49EB-8BBF-684F3BC104F2}">
  <dimension ref="A1:K201"/>
  <sheetViews>
    <sheetView tabSelected="1" workbookViewId="0">
      <selection activeCell="F2" sqref="F2"/>
    </sheetView>
  </sheetViews>
  <sheetFormatPr defaultRowHeight="14.5" x14ac:dyDescent="0.35"/>
  <cols>
    <col min="1" max="1" width="8.08984375" customWidth="1"/>
    <col min="2" max="2" width="10.36328125" customWidth="1"/>
    <col min="3" max="3" width="12.54296875" customWidth="1"/>
    <col min="4" max="4" width="10.26953125" customWidth="1"/>
    <col min="5" max="5" width="16.08984375" customWidth="1"/>
    <col min="6" max="6" width="14.81640625" customWidth="1"/>
    <col min="7" max="7" width="11.6328125" customWidth="1"/>
    <col min="8" max="8" width="10" customWidth="1"/>
    <col min="9" max="9" width="17.08984375" customWidth="1"/>
    <col min="10" max="10" width="16.26953125" customWidth="1"/>
    <col min="11" max="11" width="15.6328125" customWidth="1"/>
    <col min="12" max="12" width="16.36328125" customWidth="1"/>
  </cols>
  <sheetData>
    <row r="1" spans="1:11" x14ac:dyDescent="0.35">
      <c r="A1" t="s">
        <v>13</v>
      </c>
      <c r="B1" t="s">
        <v>40</v>
      </c>
      <c r="C1" t="s">
        <v>19</v>
      </c>
      <c r="D1" t="s">
        <v>14</v>
      </c>
      <c r="E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</row>
    <row r="2" spans="1:11" x14ac:dyDescent="0.35">
      <c r="A2">
        <f>1</f>
        <v>1</v>
      </c>
      <c r="B2">
        <f>HunterDPS!K2</f>
        <v>96.241044342672268</v>
      </c>
      <c r="C2">
        <f>KaijuSim!K2</f>
        <v>104.38444330845684</v>
      </c>
      <c r="D2" t="str">
        <f>IF(B2 &lt; C2, "Hunters", "Kaiju")</f>
        <v>Hunters</v>
      </c>
      <c r="E2">
        <f>MIN(B2, C2)</f>
        <v>96.241044342672268</v>
      </c>
      <c r="G2">
        <f>COUNTIF(D2:D201,"Hunters") / COUNTA(D2:D201)</f>
        <v>0.52</v>
      </c>
      <c r="H2">
        <f>COUNTIF(D2:D201,"Kaiju") / COUNTA(D2:D201)</f>
        <v>0.48</v>
      </c>
      <c r="I2">
        <f>AVERAGE(E2:E201)</f>
        <v>93.469654881428937</v>
      </c>
      <c r="J2">
        <f>AVERAGE(B2:B201)</f>
        <v>98.50121517930549</v>
      </c>
      <c r="K2">
        <f>AVERAGE(C2:C201)</f>
        <v>98.265609238708365</v>
      </c>
    </row>
    <row r="3" spans="1:11" x14ac:dyDescent="0.35">
      <c r="A3">
        <f>A2+1</f>
        <v>2</v>
      </c>
      <c r="B3">
        <f>HunterDPS!K3</f>
        <v>98.512976460259949</v>
      </c>
      <c r="C3">
        <f>KaijuSim!K3</f>
        <v>107.52520203223388</v>
      </c>
      <c r="D3" t="str">
        <f t="shared" ref="D3:D66" si="0">IF(B3 &lt; C3, "Hunters", "Kaiju")</f>
        <v>Hunters</v>
      </c>
      <c r="E3">
        <f t="shared" ref="E3:E66" si="1">MIN(B3, C3)</f>
        <v>98.512976460259949</v>
      </c>
    </row>
    <row r="4" spans="1:11" x14ac:dyDescent="0.35">
      <c r="A4">
        <f t="shared" ref="A4:A67" si="2">A3+1</f>
        <v>3</v>
      </c>
      <c r="B4">
        <f>HunterDPS!K4</f>
        <v>95.921240688803039</v>
      </c>
      <c r="C4">
        <f>KaijuSim!K4</f>
        <v>107.40064358552257</v>
      </c>
      <c r="D4" t="str">
        <f t="shared" si="0"/>
        <v>Hunters</v>
      </c>
      <c r="E4">
        <f t="shared" si="1"/>
        <v>95.921240688803039</v>
      </c>
    </row>
    <row r="5" spans="1:11" x14ac:dyDescent="0.35">
      <c r="A5">
        <f t="shared" si="2"/>
        <v>4</v>
      </c>
      <c r="B5">
        <f>HunterDPS!K5</f>
        <v>88.589509496539847</v>
      </c>
      <c r="C5">
        <f>KaijuSim!K5</f>
        <v>107.47144809924414</v>
      </c>
      <c r="D5" t="str">
        <f t="shared" si="0"/>
        <v>Hunters</v>
      </c>
      <c r="E5">
        <f t="shared" si="1"/>
        <v>88.589509496539847</v>
      </c>
    </row>
    <row r="6" spans="1:11" x14ac:dyDescent="0.35">
      <c r="A6">
        <f t="shared" si="2"/>
        <v>5</v>
      </c>
      <c r="B6">
        <f>HunterDPS!K6</f>
        <v>130.35163221387796</v>
      </c>
      <c r="C6">
        <f>KaijuSim!K6</f>
        <v>107.15439699314501</v>
      </c>
      <c r="D6" t="str">
        <f t="shared" si="0"/>
        <v>Kaiju</v>
      </c>
      <c r="E6">
        <f t="shared" si="1"/>
        <v>107.15439699314501</v>
      </c>
    </row>
    <row r="7" spans="1:11" x14ac:dyDescent="0.35">
      <c r="A7">
        <f t="shared" si="2"/>
        <v>6</v>
      </c>
      <c r="B7">
        <f>HunterDPS!K7</f>
        <v>92.389892036885243</v>
      </c>
      <c r="C7">
        <f>KaijuSim!K7</f>
        <v>107.41116162209158</v>
      </c>
      <c r="D7" t="str">
        <f t="shared" si="0"/>
        <v>Hunters</v>
      </c>
      <c r="E7">
        <f t="shared" si="1"/>
        <v>92.389892036885243</v>
      </c>
    </row>
    <row r="8" spans="1:11" x14ac:dyDescent="0.35">
      <c r="A8">
        <f t="shared" si="2"/>
        <v>7</v>
      </c>
      <c r="B8">
        <f>HunterDPS!K8</f>
        <v>105.04045472369786</v>
      </c>
      <c r="C8">
        <f>KaijuSim!K8</f>
        <v>110.72771775512064</v>
      </c>
      <c r="D8" t="str">
        <f t="shared" si="0"/>
        <v>Hunters</v>
      </c>
      <c r="E8">
        <f t="shared" si="1"/>
        <v>105.04045472369786</v>
      </c>
    </row>
    <row r="9" spans="1:11" x14ac:dyDescent="0.35">
      <c r="A9">
        <f t="shared" si="2"/>
        <v>8</v>
      </c>
      <c r="B9">
        <f>HunterDPS!K9</f>
        <v>132.20382504629214</v>
      </c>
      <c r="C9">
        <f>KaijuSim!K9</f>
        <v>105.16282698897187</v>
      </c>
      <c r="D9" t="str">
        <f t="shared" si="0"/>
        <v>Kaiju</v>
      </c>
      <c r="E9">
        <f t="shared" si="1"/>
        <v>105.16282698897187</v>
      </c>
    </row>
    <row r="10" spans="1:11" x14ac:dyDescent="0.35">
      <c r="A10">
        <f t="shared" si="2"/>
        <v>9</v>
      </c>
      <c r="B10">
        <f>HunterDPS!K10</f>
        <v>97.061015664459262</v>
      </c>
      <c r="C10">
        <f>KaijuSim!K10</f>
        <v>106.35805935819599</v>
      </c>
      <c r="D10" t="str">
        <f t="shared" si="0"/>
        <v>Hunters</v>
      </c>
      <c r="E10">
        <f t="shared" si="1"/>
        <v>97.061015664459262</v>
      </c>
    </row>
    <row r="11" spans="1:11" x14ac:dyDescent="0.35">
      <c r="A11">
        <f t="shared" si="2"/>
        <v>10</v>
      </c>
      <c r="B11">
        <f>HunterDPS!K11</f>
        <v>92.530871011101695</v>
      </c>
      <c r="C11">
        <f>KaijuSim!K11</f>
        <v>106.58567847931523</v>
      </c>
      <c r="D11" t="str">
        <f t="shared" si="0"/>
        <v>Hunters</v>
      </c>
      <c r="E11">
        <f t="shared" si="1"/>
        <v>92.530871011101695</v>
      </c>
    </row>
    <row r="12" spans="1:11" x14ac:dyDescent="0.35">
      <c r="A12">
        <f t="shared" si="2"/>
        <v>11</v>
      </c>
      <c r="B12">
        <f>HunterDPS!K12</f>
        <v>102.9871732867275</v>
      </c>
      <c r="C12">
        <f>KaijuSim!K12</f>
        <v>102.85691470597041</v>
      </c>
      <c r="D12" t="str">
        <f t="shared" si="0"/>
        <v>Kaiju</v>
      </c>
      <c r="E12">
        <f t="shared" si="1"/>
        <v>102.85691470597041</v>
      </c>
    </row>
    <row r="13" spans="1:11" x14ac:dyDescent="0.35">
      <c r="A13">
        <f t="shared" si="2"/>
        <v>12</v>
      </c>
      <c r="B13">
        <f>HunterDPS!K13</f>
        <v>121.32272563647021</v>
      </c>
      <c r="C13">
        <f>KaijuSim!K13</f>
        <v>105.07338584977921</v>
      </c>
      <c r="D13" t="str">
        <f t="shared" si="0"/>
        <v>Kaiju</v>
      </c>
      <c r="E13">
        <f t="shared" si="1"/>
        <v>105.07338584977921</v>
      </c>
    </row>
    <row r="14" spans="1:11" x14ac:dyDescent="0.35">
      <c r="A14">
        <f t="shared" si="2"/>
        <v>13</v>
      </c>
      <c r="B14">
        <f>HunterDPS!K14</f>
        <v>122.33835969160077</v>
      </c>
      <c r="C14">
        <f>KaijuSim!K14</f>
        <v>102.37602497788632</v>
      </c>
      <c r="D14" t="str">
        <f t="shared" si="0"/>
        <v>Kaiju</v>
      </c>
      <c r="E14">
        <f t="shared" si="1"/>
        <v>102.37602497788632</v>
      </c>
    </row>
    <row r="15" spans="1:11" x14ac:dyDescent="0.35">
      <c r="A15">
        <f t="shared" si="2"/>
        <v>14</v>
      </c>
      <c r="B15">
        <f>HunterDPS!K15</f>
        <v>77.426169267491019</v>
      </c>
      <c r="C15">
        <f>KaijuSim!K15</f>
        <v>107.64741241549859</v>
      </c>
      <c r="D15" t="str">
        <f t="shared" si="0"/>
        <v>Hunters</v>
      </c>
      <c r="E15">
        <f t="shared" si="1"/>
        <v>77.426169267491019</v>
      </c>
    </row>
    <row r="16" spans="1:11" x14ac:dyDescent="0.35">
      <c r="A16">
        <f t="shared" si="2"/>
        <v>15</v>
      </c>
      <c r="B16">
        <f>HunterDPS!K16</f>
        <v>94.783650583007102</v>
      </c>
      <c r="C16">
        <f>KaijuSim!K16</f>
        <v>105.28277328023552</v>
      </c>
      <c r="D16" t="str">
        <f t="shared" si="0"/>
        <v>Hunters</v>
      </c>
      <c r="E16">
        <f t="shared" si="1"/>
        <v>94.783650583007102</v>
      </c>
    </row>
    <row r="17" spans="1:5" x14ac:dyDescent="0.35">
      <c r="A17">
        <f t="shared" si="2"/>
        <v>16</v>
      </c>
      <c r="B17">
        <f>HunterDPS!K17</f>
        <v>97.124452002118289</v>
      </c>
      <c r="C17">
        <f>KaijuSim!K17</f>
        <v>104.0835998591272</v>
      </c>
      <c r="D17" t="str">
        <f t="shared" si="0"/>
        <v>Hunters</v>
      </c>
      <c r="E17">
        <f t="shared" si="1"/>
        <v>97.124452002118289</v>
      </c>
    </row>
    <row r="18" spans="1:5" x14ac:dyDescent="0.35">
      <c r="A18">
        <f t="shared" si="2"/>
        <v>17</v>
      </c>
      <c r="B18">
        <f>HunterDPS!K18</f>
        <v>103.35621511230373</v>
      </c>
      <c r="C18">
        <f>KaijuSim!K18</f>
        <v>106.12007474198975</v>
      </c>
      <c r="D18" t="str">
        <f t="shared" si="0"/>
        <v>Hunters</v>
      </c>
      <c r="E18">
        <f t="shared" si="1"/>
        <v>103.35621511230373</v>
      </c>
    </row>
    <row r="19" spans="1:5" x14ac:dyDescent="0.35">
      <c r="A19">
        <f t="shared" si="2"/>
        <v>18</v>
      </c>
      <c r="B19">
        <f>HunterDPS!K19</f>
        <v>107.53972532538845</v>
      </c>
      <c r="C19">
        <f>KaijuSim!K19</f>
        <v>108.00753991511337</v>
      </c>
      <c r="D19" t="str">
        <f t="shared" si="0"/>
        <v>Hunters</v>
      </c>
      <c r="E19">
        <f t="shared" si="1"/>
        <v>107.53972532538845</v>
      </c>
    </row>
    <row r="20" spans="1:5" x14ac:dyDescent="0.35">
      <c r="A20">
        <f t="shared" si="2"/>
        <v>19</v>
      </c>
      <c r="B20">
        <f>HunterDPS!K20</f>
        <v>108.94396836276275</v>
      </c>
      <c r="C20">
        <f>KaijuSim!K20</f>
        <v>107.43997092571442</v>
      </c>
      <c r="D20" t="str">
        <f t="shared" si="0"/>
        <v>Kaiju</v>
      </c>
      <c r="E20">
        <f t="shared" si="1"/>
        <v>107.43997092571442</v>
      </c>
    </row>
    <row r="21" spans="1:5" x14ac:dyDescent="0.35">
      <c r="A21">
        <f t="shared" si="2"/>
        <v>20</v>
      </c>
      <c r="B21">
        <f>HunterDPS!K21</f>
        <v>96.120132494777366</v>
      </c>
      <c r="C21">
        <f>KaijuSim!K21</f>
        <v>102.94997696234674</v>
      </c>
      <c r="D21" t="str">
        <f t="shared" si="0"/>
        <v>Hunters</v>
      </c>
      <c r="E21">
        <f t="shared" si="1"/>
        <v>96.120132494777366</v>
      </c>
    </row>
    <row r="22" spans="1:5" x14ac:dyDescent="0.35">
      <c r="A22">
        <f t="shared" si="2"/>
        <v>21</v>
      </c>
      <c r="B22">
        <f>HunterDPS!K22</f>
        <v>75.58071515402905</v>
      </c>
      <c r="C22">
        <f>KaijuSim!K22</f>
        <v>106.02035464595727</v>
      </c>
      <c r="D22" t="str">
        <f t="shared" si="0"/>
        <v>Hunters</v>
      </c>
      <c r="E22">
        <f t="shared" si="1"/>
        <v>75.58071515402905</v>
      </c>
    </row>
    <row r="23" spans="1:5" x14ac:dyDescent="0.35">
      <c r="A23">
        <f t="shared" si="2"/>
        <v>22</v>
      </c>
      <c r="B23">
        <f>HunterDPS!K23</f>
        <v>93.818804013316239</v>
      </c>
      <c r="C23">
        <f>KaijuSim!K23</f>
        <v>107.36167890421358</v>
      </c>
      <c r="D23" t="str">
        <f t="shared" si="0"/>
        <v>Hunters</v>
      </c>
      <c r="E23">
        <f t="shared" si="1"/>
        <v>93.818804013316239</v>
      </c>
    </row>
    <row r="24" spans="1:5" x14ac:dyDescent="0.35">
      <c r="A24">
        <f t="shared" si="2"/>
        <v>23</v>
      </c>
      <c r="B24">
        <f>HunterDPS!K24</f>
        <v>103.83394456313563</v>
      </c>
      <c r="C24">
        <f>KaijuSim!K24</f>
        <v>103.35693075646959</v>
      </c>
      <c r="D24" t="str">
        <f t="shared" si="0"/>
        <v>Kaiju</v>
      </c>
      <c r="E24">
        <f t="shared" si="1"/>
        <v>103.35693075646959</v>
      </c>
    </row>
    <row r="25" spans="1:5" x14ac:dyDescent="0.35">
      <c r="A25">
        <f t="shared" si="2"/>
        <v>24</v>
      </c>
      <c r="B25">
        <f>HunterDPS!K25</f>
        <v>98.88642652977525</v>
      </c>
      <c r="C25">
        <f>KaijuSim!K25</f>
        <v>104.86696317139906</v>
      </c>
      <c r="D25" t="str">
        <f t="shared" si="0"/>
        <v>Hunters</v>
      </c>
      <c r="E25">
        <f t="shared" si="1"/>
        <v>98.88642652977525</v>
      </c>
    </row>
    <row r="26" spans="1:5" x14ac:dyDescent="0.35">
      <c r="A26">
        <f t="shared" si="2"/>
        <v>25</v>
      </c>
      <c r="B26">
        <f>HunterDPS!K26</f>
        <v>119.15044486516877</v>
      </c>
      <c r="C26">
        <f>KaijuSim!K26</f>
        <v>104.56792602974272</v>
      </c>
      <c r="D26" t="str">
        <f t="shared" si="0"/>
        <v>Kaiju</v>
      </c>
      <c r="E26">
        <f t="shared" si="1"/>
        <v>104.56792602974272</v>
      </c>
    </row>
    <row r="27" spans="1:5" x14ac:dyDescent="0.35">
      <c r="A27">
        <f t="shared" si="2"/>
        <v>26</v>
      </c>
      <c r="B27">
        <f>HunterDPS!K27</f>
        <v>100.12253565966611</v>
      </c>
      <c r="C27">
        <f>KaijuSim!K27</f>
        <v>103.91207575673707</v>
      </c>
      <c r="D27" t="str">
        <f t="shared" si="0"/>
        <v>Hunters</v>
      </c>
      <c r="E27">
        <f t="shared" si="1"/>
        <v>100.12253565966611</v>
      </c>
    </row>
    <row r="28" spans="1:5" x14ac:dyDescent="0.35">
      <c r="A28">
        <f t="shared" si="2"/>
        <v>27</v>
      </c>
      <c r="B28">
        <f>HunterDPS!K28</f>
        <v>112.60582272903439</v>
      </c>
      <c r="C28">
        <f>KaijuSim!K28</f>
        <v>100.90416825263419</v>
      </c>
      <c r="D28" t="str">
        <f t="shared" si="0"/>
        <v>Kaiju</v>
      </c>
      <c r="E28">
        <f t="shared" si="1"/>
        <v>100.90416825263419</v>
      </c>
    </row>
    <row r="29" spans="1:5" x14ac:dyDescent="0.35">
      <c r="A29">
        <f t="shared" si="2"/>
        <v>28</v>
      </c>
      <c r="B29">
        <f>HunterDPS!K29</f>
        <v>107.71580595995141</v>
      </c>
      <c r="C29">
        <f>KaijuSim!K29</f>
        <v>105.40474103340811</v>
      </c>
      <c r="D29" t="str">
        <f t="shared" si="0"/>
        <v>Kaiju</v>
      </c>
      <c r="E29">
        <f t="shared" si="1"/>
        <v>105.40474103340811</v>
      </c>
    </row>
    <row r="30" spans="1:5" x14ac:dyDescent="0.35">
      <c r="A30">
        <f t="shared" si="2"/>
        <v>29</v>
      </c>
      <c r="B30">
        <f>HunterDPS!K30</f>
        <v>114.82221938125613</v>
      </c>
      <c r="C30">
        <f>KaijuSim!K30</f>
        <v>99.99843918155149</v>
      </c>
      <c r="D30" t="str">
        <f t="shared" si="0"/>
        <v>Kaiju</v>
      </c>
      <c r="E30">
        <f t="shared" si="1"/>
        <v>99.99843918155149</v>
      </c>
    </row>
    <row r="31" spans="1:5" x14ac:dyDescent="0.35">
      <c r="A31">
        <f t="shared" si="2"/>
        <v>30</v>
      </c>
      <c r="B31">
        <f>HunterDPS!K31</f>
        <v>100.72602360995374</v>
      </c>
      <c r="C31">
        <f>KaijuSim!K31</f>
        <v>104.54176883707332</v>
      </c>
      <c r="D31" t="str">
        <f t="shared" si="0"/>
        <v>Hunters</v>
      </c>
      <c r="E31">
        <f t="shared" si="1"/>
        <v>100.72602360995374</v>
      </c>
    </row>
    <row r="32" spans="1:5" x14ac:dyDescent="0.35">
      <c r="A32">
        <f t="shared" si="2"/>
        <v>31</v>
      </c>
      <c r="B32">
        <f>HunterDPS!K32</f>
        <v>97.279791932099428</v>
      </c>
      <c r="C32">
        <f>KaijuSim!K32</f>
        <v>103.86461454958047</v>
      </c>
      <c r="D32" t="str">
        <f t="shared" si="0"/>
        <v>Hunters</v>
      </c>
      <c r="E32">
        <f t="shared" si="1"/>
        <v>97.279791932099428</v>
      </c>
    </row>
    <row r="33" spans="1:5" x14ac:dyDescent="0.35">
      <c r="A33">
        <f t="shared" si="2"/>
        <v>32</v>
      </c>
      <c r="B33">
        <f>HunterDPS!K33</f>
        <v>98.657885435148046</v>
      </c>
      <c r="C33">
        <f>KaijuSim!K33</f>
        <v>104.90884382534297</v>
      </c>
      <c r="D33" t="str">
        <f t="shared" si="0"/>
        <v>Hunters</v>
      </c>
      <c r="E33">
        <f t="shared" si="1"/>
        <v>98.657885435148046</v>
      </c>
    </row>
    <row r="34" spans="1:5" x14ac:dyDescent="0.35">
      <c r="A34">
        <f t="shared" si="2"/>
        <v>33</v>
      </c>
      <c r="B34">
        <f>HunterDPS!K34</f>
        <v>118.95247587801508</v>
      </c>
      <c r="C34">
        <f>KaijuSim!K34</f>
        <v>105.47190687240614</v>
      </c>
      <c r="D34" t="str">
        <f t="shared" si="0"/>
        <v>Kaiju</v>
      </c>
      <c r="E34">
        <f t="shared" si="1"/>
        <v>105.47190687240614</v>
      </c>
    </row>
    <row r="35" spans="1:5" x14ac:dyDescent="0.35">
      <c r="A35">
        <f t="shared" si="2"/>
        <v>34</v>
      </c>
      <c r="B35">
        <f>HunterDPS!K35</f>
        <v>107.82266720783011</v>
      </c>
      <c r="C35">
        <f>KaijuSim!K35</f>
        <v>100.11434780531458</v>
      </c>
      <c r="D35" t="str">
        <f t="shared" si="0"/>
        <v>Kaiju</v>
      </c>
      <c r="E35">
        <f t="shared" si="1"/>
        <v>100.11434780531458</v>
      </c>
    </row>
    <row r="36" spans="1:5" x14ac:dyDescent="0.35">
      <c r="A36">
        <f t="shared" si="2"/>
        <v>35</v>
      </c>
      <c r="B36">
        <f>HunterDPS!K36</f>
        <v>109.86000231158155</v>
      </c>
      <c r="C36">
        <f>KaijuSim!K36</f>
        <v>97.876320315800726</v>
      </c>
      <c r="D36" t="str">
        <f t="shared" si="0"/>
        <v>Kaiju</v>
      </c>
      <c r="E36">
        <f t="shared" si="1"/>
        <v>97.876320315800726</v>
      </c>
    </row>
    <row r="37" spans="1:5" x14ac:dyDescent="0.35">
      <c r="A37">
        <f t="shared" si="2"/>
        <v>36</v>
      </c>
      <c r="B37">
        <f>HunterDPS!K37</f>
        <v>90.994865324768554</v>
      </c>
      <c r="C37">
        <f>KaijuSim!K37</f>
        <v>103.40456225016052</v>
      </c>
      <c r="D37" t="str">
        <f t="shared" si="0"/>
        <v>Hunters</v>
      </c>
      <c r="E37">
        <f t="shared" si="1"/>
        <v>90.994865324768554</v>
      </c>
    </row>
    <row r="38" spans="1:5" x14ac:dyDescent="0.35">
      <c r="A38">
        <f t="shared" si="2"/>
        <v>37</v>
      </c>
      <c r="B38">
        <f>HunterDPS!K38</f>
        <v>115.01149682224016</v>
      </c>
      <c r="C38">
        <f>KaijuSim!K38</f>
        <v>106.32137470472918</v>
      </c>
      <c r="D38" t="str">
        <f t="shared" si="0"/>
        <v>Kaiju</v>
      </c>
      <c r="E38">
        <f t="shared" si="1"/>
        <v>106.32137470472918</v>
      </c>
    </row>
    <row r="39" spans="1:5" x14ac:dyDescent="0.35">
      <c r="A39">
        <f t="shared" si="2"/>
        <v>38</v>
      </c>
      <c r="B39">
        <f>HunterDPS!K39</f>
        <v>88.979181769395453</v>
      </c>
      <c r="C39">
        <f>KaijuSim!K39</f>
        <v>97.761802906538563</v>
      </c>
      <c r="D39" t="str">
        <f t="shared" si="0"/>
        <v>Hunters</v>
      </c>
      <c r="E39">
        <f t="shared" si="1"/>
        <v>88.979181769395453</v>
      </c>
    </row>
    <row r="40" spans="1:5" x14ac:dyDescent="0.35">
      <c r="A40">
        <f t="shared" si="2"/>
        <v>39</v>
      </c>
      <c r="B40">
        <f>HunterDPS!K40</f>
        <v>92.341646783058778</v>
      </c>
      <c r="C40">
        <f>KaijuSim!K40</f>
        <v>105.02399178333727</v>
      </c>
      <c r="D40" t="str">
        <f t="shared" si="0"/>
        <v>Hunters</v>
      </c>
      <c r="E40">
        <f t="shared" si="1"/>
        <v>92.341646783058778</v>
      </c>
    </row>
    <row r="41" spans="1:5" x14ac:dyDescent="0.35">
      <c r="A41">
        <f t="shared" si="2"/>
        <v>40</v>
      </c>
      <c r="B41">
        <f>HunterDPS!K41</f>
        <v>83.312096702546484</v>
      </c>
      <c r="C41">
        <f>KaijuSim!K41</f>
        <v>108.14967881564182</v>
      </c>
      <c r="D41" t="str">
        <f t="shared" si="0"/>
        <v>Hunters</v>
      </c>
      <c r="E41">
        <f t="shared" si="1"/>
        <v>83.312096702546484</v>
      </c>
    </row>
    <row r="42" spans="1:5" x14ac:dyDescent="0.35">
      <c r="A42">
        <f t="shared" si="2"/>
        <v>41</v>
      </c>
      <c r="B42">
        <f>HunterDPS!K42</f>
        <v>96.897912580747033</v>
      </c>
      <c r="C42">
        <f>KaijuSim!K42</f>
        <v>102.34770664900553</v>
      </c>
      <c r="D42" t="str">
        <f t="shared" si="0"/>
        <v>Hunters</v>
      </c>
      <c r="E42">
        <f t="shared" si="1"/>
        <v>96.897912580747033</v>
      </c>
    </row>
    <row r="43" spans="1:5" x14ac:dyDescent="0.35">
      <c r="A43">
        <f t="shared" si="2"/>
        <v>42</v>
      </c>
      <c r="B43">
        <f>HunterDPS!K43</f>
        <v>81.24957272243185</v>
      </c>
      <c r="C43">
        <f>KaijuSim!K43</f>
        <v>105.82336348624546</v>
      </c>
      <c r="D43" t="str">
        <f t="shared" si="0"/>
        <v>Hunters</v>
      </c>
      <c r="E43">
        <f t="shared" si="1"/>
        <v>81.24957272243185</v>
      </c>
    </row>
    <row r="44" spans="1:5" x14ac:dyDescent="0.35">
      <c r="A44">
        <f t="shared" si="2"/>
        <v>43</v>
      </c>
      <c r="B44">
        <f>HunterDPS!K44</f>
        <v>100.01366707349425</v>
      </c>
      <c r="C44">
        <f>KaijuSim!K44</f>
        <v>104.72787535613757</v>
      </c>
      <c r="D44" t="str">
        <f t="shared" si="0"/>
        <v>Hunters</v>
      </c>
      <c r="E44">
        <f t="shared" si="1"/>
        <v>100.01366707349425</v>
      </c>
    </row>
    <row r="45" spans="1:5" x14ac:dyDescent="0.35">
      <c r="A45">
        <f t="shared" si="2"/>
        <v>44</v>
      </c>
      <c r="B45">
        <f>HunterDPS!K45</f>
        <v>109.28537674945318</v>
      </c>
      <c r="C45">
        <f>KaijuSim!K45</f>
        <v>99.618197954486021</v>
      </c>
      <c r="D45" t="str">
        <f t="shared" si="0"/>
        <v>Kaiju</v>
      </c>
      <c r="E45">
        <f t="shared" si="1"/>
        <v>99.618197954486021</v>
      </c>
    </row>
    <row r="46" spans="1:5" x14ac:dyDescent="0.35">
      <c r="A46">
        <f t="shared" si="2"/>
        <v>45</v>
      </c>
      <c r="B46">
        <f>HunterDPS!K46</f>
        <v>79.886207243131196</v>
      </c>
      <c r="C46">
        <f>KaijuSim!K46</f>
        <v>97.639474096533036</v>
      </c>
      <c r="D46" t="str">
        <f t="shared" si="0"/>
        <v>Hunters</v>
      </c>
      <c r="E46">
        <f t="shared" si="1"/>
        <v>79.886207243131196</v>
      </c>
    </row>
    <row r="47" spans="1:5" x14ac:dyDescent="0.35">
      <c r="A47">
        <f t="shared" si="2"/>
        <v>46</v>
      </c>
      <c r="B47">
        <f>HunterDPS!K47</f>
        <v>92.951343629546486</v>
      </c>
      <c r="C47">
        <f>KaijuSim!K47</f>
        <v>103.57420230293803</v>
      </c>
      <c r="D47" t="str">
        <f t="shared" si="0"/>
        <v>Hunters</v>
      </c>
      <c r="E47">
        <f t="shared" si="1"/>
        <v>92.951343629546486</v>
      </c>
    </row>
    <row r="48" spans="1:5" x14ac:dyDescent="0.35">
      <c r="A48">
        <f t="shared" si="2"/>
        <v>47</v>
      </c>
      <c r="B48">
        <f>HunterDPS!K48</f>
        <v>100.57660747281749</v>
      </c>
      <c r="C48">
        <f>KaijuSim!K48</f>
        <v>100.48237688934492</v>
      </c>
      <c r="D48" t="str">
        <f t="shared" si="0"/>
        <v>Kaiju</v>
      </c>
      <c r="E48">
        <f t="shared" si="1"/>
        <v>100.48237688934492</v>
      </c>
    </row>
    <row r="49" spans="1:5" x14ac:dyDescent="0.35">
      <c r="A49">
        <f t="shared" si="2"/>
        <v>48</v>
      </c>
      <c r="B49">
        <f>HunterDPS!K49</f>
        <v>92.329176415753722</v>
      </c>
      <c r="C49">
        <f>KaijuSim!K49</f>
        <v>104.19957750607256</v>
      </c>
      <c r="D49" t="str">
        <f t="shared" si="0"/>
        <v>Hunters</v>
      </c>
      <c r="E49">
        <f t="shared" si="1"/>
        <v>92.329176415753722</v>
      </c>
    </row>
    <row r="50" spans="1:5" x14ac:dyDescent="0.35">
      <c r="A50">
        <f t="shared" si="2"/>
        <v>49</v>
      </c>
      <c r="B50">
        <f>HunterDPS!K50</f>
        <v>85.420432504770773</v>
      </c>
      <c r="C50">
        <f>KaijuSim!K50</f>
        <v>100.05619895675653</v>
      </c>
      <c r="D50" t="str">
        <f t="shared" si="0"/>
        <v>Hunters</v>
      </c>
      <c r="E50">
        <f t="shared" si="1"/>
        <v>85.420432504770773</v>
      </c>
    </row>
    <row r="51" spans="1:5" x14ac:dyDescent="0.35">
      <c r="A51">
        <f t="shared" si="2"/>
        <v>50</v>
      </c>
      <c r="B51">
        <f>HunterDPS!K51</f>
        <v>78.185651730817497</v>
      </c>
      <c r="C51">
        <f>KaijuSim!K51</f>
        <v>100.76419119284462</v>
      </c>
      <c r="D51" t="str">
        <f t="shared" si="0"/>
        <v>Hunters</v>
      </c>
      <c r="E51">
        <f t="shared" si="1"/>
        <v>78.185651730817497</v>
      </c>
    </row>
    <row r="52" spans="1:5" x14ac:dyDescent="0.35">
      <c r="A52">
        <f t="shared" si="2"/>
        <v>51</v>
      </c>
      <c r="B52">
        <f>HunterDPS!K52</f>
        <v>94.27611417843697</v>
      </c>
      <c r="C52">
        <f>KaijuSim!K52</f>
        <v>102.91491957758301</v>
      </c>
      <c r="D52" t="str">
        <f t="shared" si="0"/>
        <v>Hunters</v>
      </c>
      <c r="E52">
        <f t="shared" si="1"/>
        <v>94.27611417843697</v>
      </c>
    </row>
    <row r="53" spans="1:5" x14ac:dyDescent="0.35">
      <c r="A53">
        <f t="shared" si="2"/>
        <v>52</v>
      </c>
      <c r="B53">
        <f>HunterDPS!K53</f>
        <v>87.62196124212052</v>
      </c>
      <c r="C53">
        <f>KaijuSim!K53</f>
        <v>99.980248197599977</v>
      </c>
      <c r="D53" t="str">
        <f t="shared" si="0"/>
        <v>Hunters</v>
      </c>
      <c r="E53">
        <f t="shared" si="1"/>
        <v>87.62196124212052</v>
      </c>
    </row>
    <row r="54" spans="1:5" x14ac:dyDescent="0.35">
      <c r="A54">
        <f t="shared" si="2"/>
        <v>53</v>
      </c>
      <c r="B54">
        <f>HunterDPS!K54</f>
        <v>119.77772555469184</v>
      </c>
      <c r="C54">
        <f>KaijuSim!K54</f>
        <v>103.81506974356455</v>
      </c>
      <c r="D54" t="str">
        <f t="shared" si="0"/>
        <v>Kaiju</v>
      </c>
      <c r="E54">
        <f t="shared" si="1"/>
        <v>103.81506974356455</v>
      </c>
    </row>
    <row r="55" spans="1:5" x14ac:dyDescent="0.35">
      <c r="A55">
        <f t="shared" si="2"/>
        <v>54</v>
      </c>
      <c r="B55">
        <f>HunterDPS!K55</f>
        <v>92.225256017813066</v>
      </c>
      <c r="C55">
        <f>KaijuSim!K55</f>
        <v>98.241865196671824</v>
      </c>
      <c r="D55" t="str">
        <f t="shared" si="0"/>
        <v>Hunters</v>
      </c>
      <c r="E55">
        <f t="shared" si="1"/>
        <v>92.225256017813066</v>
      </c>
    </row>
    <row r="56" spans="1:5" x14ac:dyDescent="0.35">
      <c r="A56">
        <f t="shared" si="2"/>
        <v>55</v>
      </c>
      <c r="B56">
        <f>HunterDPS!K56</f>
        <v>121.17674357448732</v>
      </c>
      <c r="C56">
        <f>KaijuSim!K56</f>
        <v>97.567925084985148</v>
      </c>
      <c r="D56" t="str">
        <f t="shared" si="0"/>
        <v>Kaiju</v>
      </c>
      <c r="E56">
        <f t="shared" si="1"/>
        <v>97.567925084985148</v>
      </c>
    </row>
    <row r="57" spans="1:5" x14ac:dyDescent="0.35">
      <c r="A57">
        <f t="shared" si="2"/>
        <v>56</v>
      </c>
      <c r="B57">
        <f>HunterDPS!K57</f>
        <v>83.600015650255799</v>
      </c>
      <c r="C57">
        <f>KaijuSim!K57</f>
        <v>101.59685956479527</v>
      </c>
      <c r="D57" t="str">
        <f t="shared" si="0"/>
        <v>Hunters</v>
      </c>
      <c r="E57">
        <f t="shared" si="1"/>
        <v>83.600015650255799</v>
      </c>
    </row>
    <row r="58" spans="1:5" x14ac:dyDescent="0.35">
      <c r="A58">
        <f t="shared" si="2"/>
        <v>57</v>
      </c>
      <c r="B58">
        <f>HunterDPS!K58</f>
        <v>100.46800574650416</v>
      </c>
      <c r="C58">
        <f>KaijuSim!K58</f>
        <v>97.00103407378117</v>
      </c>
      <c r="D58" t="str">
        <f t="shared" si="0"/>
        <v>Kaiju</v>
      </c>
      <c r="E58">
        <f t="shared" si="1"/>
        <v>97.00103407378117</v>
      </c>
    </row>
    <row r="59" spans="1:5" x14ac:dyDescent="0.35">
      <c r="A59">
        <f t="shared" si="2"/>
        <v>58</v>
      </c>
      <c r="B59">
        <f>HunterDPS!K59</f>
        <v>80.716358040087599</v>
      </c>
      <c r="C59">
        <f>KaijuSim!K59</f>
        <v>101.18377920490346</v>
      </c>
      <c r="D59" t="str">
        <f t="shared" si="0"/>
        <v>Hunters</v>
      </c>
      <c r="E59">
        <f t="shared" si="1"/>
        <v>80.716358040087599</v>
      </c>
    </row>
    <row r="60" spans="1:5" x14ac:dyDescent="0.35">
      <c r="A60">
        <f t="shared" si="2"/>
        <v>59</v>
      </c>
      <c r="B60">
        <f>HunterDPS!K60</f>
        <v>109.71369560328384</v>
      </c>
      <c r="C60">
        <f>KaijuSim!K60</f>
        <v>96.852759307611407</v>
      </c>
      <c r="D60" t="str">
        <f t="shared" si="0"/>
        <v>Kaiju</v>
      </c>
      <c r="E60">
        <f t="shared" si="1"/>
        <v>96.852759307611407</v>
      </c>
    </row>
    <row r="61" spans="1:5" x14ac:dyDescent="0.35">
      <c r="A61">
        <f t="shared" si="2"/>
        <v>60</v>
      </c>
      <c r="B61">
        <f>HunterDPS!K61</f>
        <v>87.495301522217034</v>
      </c>
      <c r="C61">
        <f>KaijuSim!K61</f>
        <v>103.73504478415795</v>
      </c>
      <c r="D61" t="str">
        <f t="shared" si="0"/>
        <v>Hunters</v>
      </c>
      <c r="E61">
        <f t="shared" si="1"/>
        <v>87.495301522217034</v>
      </c>
    </row>
    <row r="62" spans="1:5" x14ac:dyDescent="0.35">
      <c r="A62">
        <f t="shared" si="2"/>
        <v>61</v>
      </c>
      <c r="B62">
        <f>HunterDPS!K62</f>
        <v>78.655131241127961</v>
      </c>
      <c r="C62">
        <f>KaijuSim!K62</f>
        <v>99.530789224691517</v>
      </c>
      <c r="D62" t="str">
        <f t="shared" si="0"/>
        <v>Hunters</v>
      </c>
      <c r="E62">
        <f t="shared" si="1"/>
        <v>78.655131241127961</v>
      </c>
    </row>
    <row r="63" spans="1:5" x14ac:dyDescent="0.35">
      <c r="A63">
        <f t="shared" si="2"/>
        <v>62</v>
      </c>
      <c r="B63">
        <f>HunterDPS!K63</f>
        <v>100.4654901865805</v>
      </c>
      <c r="C63">
        <f>KaijuSim!K63</f>
        <v>98.562764766155951</v>
      </c>
      <c r="D63" t="str">
        <f t="shared" si="0"/>
        <v>Kaiju</v>
      </c>
      <c r="E63">
        <f t="shared" si="1"/>
        <v>98.562764766155951</v>
      </c>
    </row>
    <row r="64" spans="1:5" x14ac:dyDescent="0.35">
      <c r="A64">
        <f t="shared" si="2"/>
        <v>63</v>
      </c>
      <c r="B64">
        <f>HunterDPS!K64</f>
        <v>104.57975050729338</v>
      </c>
      <c r="C64">
        <f>KaijuSim!K64</f>
        <v>98.311905984919449</v>
      </c>
      <c r="D64" t="str">
        <f t="shared" si="0"/>
        <v>Kaiju</v>
      </c>
      <c r="E64">
        <f t="shared" si="1"/>
        <v>98.311905984919449</v>
      </c>
    </row>
    <row r="65" spans="1:5" x14ac:dyDescent="0.35">
      <c r="A65">
        <f t="shared" si="2"/>
        <v>64</v>
      </c>
      <c r="B65">
        <f>HunterDPS!K65</f>
        <v>92.591011131341745</v>
      </c>
      <c r="C65">
        <f>KaijuSim!K65</f>
        <v>105.67304935477408</v>
      </c>
      <c r="D65" t="str">
        <f t="shared" si="0"/>
        <v>Hunters</v>
      </c>
      <c r="E65">
        <f t="shared" si="1"/>
        <v>92.591011131341745</v>
      </c>
    </row>
    <row r="66" spans="1:5" x14ac:dyDescent="0.35">
      <c r="A66">
        <f t="shared" si="2"/>
        <v>65</v>
      </c>
      <c r="B66">
        <f>HunterDPS!K66</f>
        <v>108.18903430294318</v>
      </c>
      <c r="C66">
        <f>KaijuSim!K66</f>
        <v>97.853463270806017</v>
      </c>
      <c r="D66" t="str">
        <f t="shared" si="0"/>
        <v>Kaiju</v>
      </c>
      <c r="E66">
        <f t="shared" si="1"/>
        <v>97.853463270806017</v>
      </c>
    </row>
    <row r="67" spans="1:5" x14ac:dyDescent="0.35">
      <c r="A67">
        <f t="shared" si="2"/>
        <v>66</v>
      </c>
      <c r="B67">
        <f>HunterDPS!K67</f>
        <v>103.75393214278952</v>
      </c>
      <c r="C67">
        <f>KaijuSim!K67</f>
        <v>104.74428569518381</v>
      </c>
      <c r="D67" t="str">
        <f t="shared" ref="D67:D130" si="3">IF(B67 &lt; C67, "Hunters", "Kaiju")</f>
        <v>Hunters</v>
      </c>
      <c r="E67">
        <f t="shared" ref="E67:E130" si="4">MIN(B67, C67)</f>
        <v>103.75393214278952</v>
      </c>
    </row>
    <row r="68" spans="1:5" x14ac:dyDescent="0.35">
      <c r="A68">
        <f t="shared" ref="A68:A131" si="5">A67+1</f>
        <v>67</v>
      </c>
      <c r="B68">
        <f>HunterDPS!K68</f>
        <v>110.5145656058079</v>
      </c>
      <c r="C68">
        <f>KaijuSim!K68</f>
        <v>97.76081347513059</v>
      </c>
      <c r="D68" t="str">
        <f t="shared" si="3"/>
        <v>Kaiju</v>
      </c>
      <c r="E68">
        <f t="shared" si="4"/>
        <v>97.76081347513059</v>
      </c>
    </row>
    <row r="69" spans="1:5" x14ac:dyDescent="0.35">
      <c r="A69">
        <f t="shared" si="5"/>
        <v>68</v>
      </c>
      <c r="B69">
        <f>HunterDPS!K69</f>
        <v>96.415607914460224</v>
      </c>
      <c r="C69">
        <f>KaijuSim!K69</f>
        <v>101.72411418694051</v>
      </c>
      <c r="D69" t="str">
        <f t="shared" si="3"/>
        <v>Hunters</v>
      </c>
      <c r="E69">
        <f t="shared" si="4"/>
        <v>96.415607914460224</v>
      </c>
    </row>
    <row r="70" spans="1:5" x14ac:dyDescent="0.35">
      <c r="A70">
        <f t="shared" si="5"/>
        <v>69</v>
      </c>
      <c r="B70">
        <f>HunterDPS!K70</f>
        <v>87.155519026944845</v>
      </c>
      <c r="C70">
        <f>KaijuSim!K70</f>
        <v>101.95743463389911</v>
      </c>
      <c r="D70" t="str">
        <f t="shared" si="3"/>
        <v>Hunters</v>
      </c>
      <c r="E70">
        <f t="shared" si="4"/>
        <v>87.155519026944845</v>
      </c>
    </row>
    <row r="71" spans="1:5" x14ac:dyDescent="0.35">
      <c r="A71">
        <f t="shared" si="5"/>
        <v>70</v>
      </c>
      <c r="B71">
        <f>HunterDPS!K71</f>
        <v>106.90322522908255</v>
      </c>
      <c r="C71">
        <f>KaijuSim!K71</f>
        <v>102.06660822367523</v>
      </c>
      <c r="D71" t="str">
        <f t="shared" si="3"/>
        <v>Kaiju</v>
      </c>
      <c r="E71">
        <f t="shared" si="4"/>
        <v>102.06660822367523</v>
      </c>
    </row>
    <row r="72" spans="1:5" x14ac:dyDescent="0.35">
      <c r="A72">
        <f t="shared" si="5"/>
        <v>71</v>
      </c>
      <c r="B72">
        <f>HunterDPS!K72</f>
        <v>100.73527070516393</v>
      </c>
      <c r="C72">
        <f>KaijuSim!K72</f>
        <v>103.73110653291636</v>
      </c>
      <c r="D72" t="str">
        <f t="shared" si="3"/>
        <v>Hunters</v>
      </c>
      <c r="E72">
        <f t="shared" si="4"/>
        <v>100.73527070516393</v>
      </c>
    </row>
    <row r="73" spans="1:5" x14ac:dyDescent="0.35">
      <c r="A73">
        <f t="shared" si="5"/>
        <v>72</v>
      </c>
      <c r="B73">
        <f>HunterDPS!K73</f>
        <v>95.858366031429</v>
      </c>
      <c r="C73">
        <f>KaijuSim!K73</f>
        <v>105.14960129233957</v>
      </c>
      <c r="D73" t="str">
        <f t="shared" si="3"/>
        <v>Hunters</v>
      </c>
      <c r="E73">
        <f t="shared" si="4"/>
        <v>95.858366031429</v>
      </c>
    </row>
    <row r="74" spans="1:5" x14ac:dyDescent="0.35">
      <c r="A74">
        <f t="shared" si="5"/>
        <v>73</v>
      </c>
      <c r="B74">
        <f>HunterDPS!K74</f>
        <v>94.059937790265323</v>
      </c>
      <c r="C74">
        <f>KaijuSim!K74</f>
        <v>103.37401181540838</v>
      </c>
      <c r="D74" t="str">
        <f t="shared" si="3"/>
        <v>Hunters</v>
      </c>
      <c r="E74">
        <f t="shared" si="4"/>
        <v>94.059937790265323</v>
      </c>
    </row>
    <row r="75" spans="1:5" x14ac:dyDescent="0.35">
      <c r="A75">
        <f t="shared" si="5"/>
        <v>74</v>
      </c>
      <c r="B75">
        <f>HunterDPS!K75</f>
        <v>106.99265222871936</v>
      </c>
      <c r="C75">
        <f>KaijuSim!K75</f>
        <v>98.747210985657304</v>
      </c>
      <c r="D75" t="str">
        <f t="shared" si="3"/>
        <v>Kaiju</v>
      </c>
      <c r="E75">
        <f t="shared" si="4"/>
        <v>98.747210985657304</v>
      </c>
    </row>
    <row r="76" spans="1:5" x14ac:dyDescent="0.35">
      <c r="A76">
        <f t="shared" si="5"/>
        <v>75</v>
      </c>
      <c r="B76">
        <f>HunterDPS!K76</f>
        <v>98.044539472777643</v>
      </c>
      <c r="C76">
        <f>KaijuSim!K76</f>
        <v>98.217209404984118</v>
      </c>
      <c r="D76" t="str">
        <f t="shared" si="3"/>
        <v>Hunters</v>
      </c>
      <c r="E76">
        <f t="shared" si="4"/>
        <v>98.044539472777643</v>
      </c>
    </row>
    <row r="77" spans="1:5" x14ac:dyDescent="0.35">
      <c r="A77">
        <f t="shared" si="5"/>
        <v>76</v>
      </c>
      <c r="B77">
        <f>HunterDPS!K77</f>
        <v>93.939230451295614</v>
      </c>
      <c r="C77">
        <f>KaijuSim!K77</f>
        <v>97.915417297027261</v>
      </c>
      <c r="D77" t="str">
        <f t="shared" si="3"/>
        <v>Hunters</v>
      </c>
      <c r="E77">
        <f t="shared" si="4"/>
        <v>93.939230451295614</v>
      </c>
    </row>
    <row r="78" spans="1:5" x14ac:dyDescent="0.35">
      <c r="A78">
        <f t="shared" si="5"/>
        <v>77</v>
      </c>
      <c r="B78">
        <f>HunterDPS!K78</f>
        <v>112.6984739425407</v>
      </c>
      <c r="C78">
        <f>KaijuSim!K78</f>
        <v>97.326518218752042</v>
      </c>
      <c r="D78" t="str">
        <f t="shared" si="3"/>
        <v>Kaiju</v>
      </c>
      <c r="E78">
        <f t="shared" si="4"/>
        <v>97.326518218752042</v>
      </c>
    </row>
    <row r="79" spans="1:5" x14ac:dyDescent="0.35">
      <c r="A79">
        <f t="shared" si="5"/>
        <v>78</v>
      </c>
      <c r="B79">
        <f>HunterDPS!K79</f>
        <v>92.933264655341588</v>
      </c>
      <c r="C79">
        <f>KaijuSim!K79</f>
        <v>94.920796715425112</v>
      </c>
      <c r="D79" t="str">
        <f t="shared" si="3"/>
        <v>Hunters</v>
      </c>
      <c r="E79">
        <f t="shared" si="4"/>
        <v>92.933264655341588</v>
      </c>
    </row>
    <row r="80" spans="1:5" x14ac:dyDescent="0.35">
      <c r="A80">
        <f t="shared" si="5"/>
        <v>79</v>
      </c>
      <c r="B80">
        <f>HunterDPS!K80</f>
        <v>96.7965065095363</v>
      </c>
      <c r="C80">
        <f>KaijuSim!K80</f>
        <v>96.933264136117373</v>
      </c>
      <c r="D80" t="str">
        <f t="shared" si="3"/>
        <v>Hunters</v>
      </c>
      <c r="E80">
        <f t="shared" si="4"/>
        <v>96.7965065095363</v>
      </c>
    </row>
    <row r="81" spans="1:5" x14ac:dyDescent="0.35">
      <c r="A81">
        <f t="shared" si="5"/>
        <v>80</v>
      </c>
      <c r="B81">
        <f>HunterDPS!K81</f>
        <v>94.958947627933313</v>
      </c>
      <c r="C81">
        <f>KaijuSim!K81</f>
        <v>92.787259309637264</v>
      </c>
      <c r="D81" t="str">
        <f t="shared" si="3"/>
        <v>Kaiju</v>
      </c>
      <c r="E81">
        <f t="shared" si="4"/>
        <v>92.787259309637264</v>
      </c>
    </row>
    <row r="82" spans="1:5" x14ac:dyDescent="0.35">
      <c r="A82">
        <f t="shared" si="5"/>
        <v>81</v>
      </c>
      <c r="B82">
        <f>HunterDPS!K82</f>
        <v>95.538822586091044</v>
      </c>
      <c r="C82">
        <f>KaijuSim!K82</f>
        <v>102.64713094483864</v>
      </c>
      <c r="D82" t="str">
        <f t="shared" si="3"/>
        <v>Hunters</v>
      </c>
      <c r="E82">
        <f t="shared" si="4"/>
        <v>95.538822586091044</v>
      </c>
    </row>
    <row r="83" spans="1:5" x14ac:dyDescent="0.35">
      <c r="A83">
        <f t="shared" si="5"/>
        <v>82</v>
      </c>
      <c r="B83">
        <f>HunterDPS!K83</f>
        <v>88.841053555529982</v>
      </c>
      <c r="C83">
        <f>KaijuSim!K83</f>
        <v>99.72314751984959</v>
      </c>
      <c r="D83" t="str">
        <f t="shared" si="3"/>
        <v>Hunters</v>
      </c>
      <c r="E83">
        <f t="shared" si="4"/>
        <v>88.841053555529982</v>
      </c>
    </row>
    <row r="84" spans="1:5" x14ac:dyDescent="0.35">
      <c r="A84">
        <f t="shared" si="5"/>
        <v>83</v>
      </c>
      <c r="B84">
        <f>HunterDPS!K84</f>
        <v>103.76073281333973</v>
      </c>
      <c r="C84">
        <f>KaijuSim!K84</f>
        <v>103.07878820184841</v>
      </c>
      <c r="D84" t="str">
        <f t="shared" si="3"/>
        <v>Kaiju</v>
      </c>
      <c r="E84">
        <f t="shared" si="4"/>
        <v>103.07878820184841</v>
      </c>
    </row>
    <row r="85" spans="1:5" x14ac:dyDescent="0.35">
      <c r="A85">
        <f t="shared" si="5"/>
        <v>84</v>
      </c>
      <c r="B85">
        <f>HunterDPS!K85</f>
        <v>90.511767506754268</v>
      </c>
      <c r="C85">
        <f>KaijuSim!K85</f>
        <v>94.821936529291804</v>
      </c>
      <c r="D85" t="str">
        <f t="shared" si="3"/>
        <v>Hunters</v>
      </c>
      <c r="E85">
        <f t="shared" si="4"/>
        <v>90.511767506754268</v>
      </c>
    </row>
    <row r="86" spans="1:5" x14ac:dyDescent="0.35">
      <c r="A86">
        <f t="shared" si="5"/>
        <v>85</v>
      </c>
      <c r="B86">
        <f>HunterDPS!K86</f>
        <v>89.939965068145511</v>
      </c>
      <c r="C86">
        <f>KaijuSim!K86</f>
        <v>103.35671047375772</v>
      </c>
      <c r="D86" t="str">
        <f t="shared" si="3"/>
        <v>Hunters</v>
      </c>
      <c r="E86">
        <f t="shared" si="4"/>
        <v>89.939965068145511</v>
      </c>
    </row>
    <row r="87" spans="1:5" x14ac:dyDescent="0.35">
      <c r="A87">
        <f t="shared" si="5"/>
        <v>86</v>
      </c>
      <c r="B87">
        <f>HunterDPS!K87</f>
        <v>98.480914723473063</v>
      </c>
      <c r="C87">
        <f>KaijuSim!K87</f>
        <v>96.838572417464491</v>
      </c>
      <c r="D87" t="str">
        <f t="shared" si="3"/>
        <v>Kaiju</v>
      </c>
      <c r="E87">
        <f t="shared" si="4"/>
        <v>96.838572417464491</v>
      </c>
    </row>
    <row r="88" spans="1:5" x14ac:dyDescent="0.35">
      <c r="A88">
        <f t="shared" si="5"/>
        <v>87</v>
      </c>
      <c r="B88">
        <f>HunterDPS!K88</f>
        <v>91.961578424573688</v>
      </c>
      <c r="C88">
        <f>KaijuSim!K88</f>
        <v>103.70003512528716</v>
      </c>
      <c r="D88" t="str">
        <f t="shared" si="3"/>
        <v>Hunters</v>
      </c>
      <c r="E88">
        <f t="shared" si="4"/>
        <v>91.961578424573688</v>
      </c>
    </row>
    <row r="89" spans="1:5" x14ac:dyDescent="0.35">
      <c r="A89">
        <f t="shared" si="5"/>
        <v>88</v>
      </c>
      <c r="B89">
        <f>HunterDPS!K89</f>
        <v>99.235825458599734</v>
      </c>
      <c r="C89">
        <f>KaijuSim!K89</f>
        <v>99.167806726751991</v>
      </c>
      <c r="D89" t="str">
        <f t="shared" si="3"/>
        <v>Kaiju</v>
      </c>
      <c r="E89">
        <f t="shared" si="4"/>
        <v>99.167806726751991</v>
      </c>
    </row>
    <row r="90" spans="1:5" x14ac:dyDescent="0.35">
      <c r="A90">
        <f t="shared" si="5"/>
        <v>89</v>
      </c>
      <c r="B90">
        <f>HunterDPS!K90</f>
        <v>110.74572675029526</v>
      </c>
      <c r="C90">
        <f>KaijuSim!K90</f>
        <v>101.41741032837169</v>
      </c>
      <c r="D90" t="str">
        <f t="shared" si="3"/>
        <v>Kaiju</v>
      </c>
      <c r="E90">
        <f t="shared" si="4"/>
        <v>101.41741032837169</v>
      </c>
    </row>
    <row r="91" spans="1:5" x14ac:dyDescent="0.35">
      <c r="A91">
        <f t="shared" si="5"/>
        <v>90</v>
      </c>
      <c r="B91">
        <f>HunterDPS!K91</f>
        <v>105.6325770923544</v>
      </c>
      <c r="C91">
        <f>KaijuSim!K91</f>
        <v>96.496210008290461</v>
      </c>
      <c r="D91" t="str">
        <f t="shared" si="3"/>
        <v>Kaiju</v>
      </c>
      <c r="E91">
        <f t="shared" si="4"/>
        <v>96.496210008290461</v>
      </c>
    </row>
    <row r="92" spans="1:5" x14ac:dyDescent="0.35">
      <c r="A92">
        <f t="shared" si="5"/>
        <v>91</v>
      </c>
      <c r="B92">
        <f>HunterDPS!K92</f>
        <v>102.09186769628187</v>
      </c>
      <c r="C92">
        <f>KaijuSim!K92</f>
        <v>98.197859548369422</v>
      </c>
      <c r="D92" t="str">
        <f t="shared" si="3"/>
        <v>Kaiju</v>
      </c>
      <c r="E92">
        <f t="shared" si="4"/>
        <v>98.197859548369422</v>
      </c>
    </row>
    <row r="93" spans="1:5" x14ac:dyDescent="0.35">
      <c r="A93">
        <f t="shared" si="5"/>
        <v>92</v>
      </c>
      <c r="B93">
        <f>HunterDPS!K93</f>
        <v>102.81906158753468</v>
      </c>
      <c r="C93">
        <f>KaijuSim!K93</f>
        <v>94.205453383243182</v>
      </c>
      <c r="D93" t="str">
        <f t="shared" si="3"/>
        <v>Kaiju</v>
      </c>
      <c r="E93">
        <f t="shared" si="4"/>
        <v>94.205453383243182</v>
      </c>
    </row>
    <row r="94" spans="1:5" x14ac:dyDescent="0.35">
      <c r="A94">
        <f t="shared" si="5"/>
        <v>93</v>
      </c>
      <c r="B94">
        <f>HunterDPS!K94</f>
        <v>104.12024066542203</v>
      </c>
      <c r="C94">
        <f>KaijuSim!K94</f>
        <v>96.951455995588248</v>
      </c>
      <c r="D94" t="str">
        <f t="shared" si="3"/>
        <v>Kaiju</v>
      </c>
      <c r="E94">
        <f t="shared" si="4"/>
        <v>96.951455995588248</v>
      </c>
    </row>
    <row r="95" spans="1:5" x14ac:dyDescent="0.35">
      <c r="A95">
        <f t="shared" si="5"/>
        <v>94</v>
      </c>
      <c r="B95">
        <f>HunterDPS!K95</f>
        <v>121.37515560472183</v>
      </c>
      <c r="C95">
        <f>KaijuSim!K95</f>
        <v>94.037753232247653</v>
      </c>
      <c r="D95" t="str">
        <f t="shared" si="3"/>
        <v>Kaiju</v>
      </c>
      <c r="E95">
        <f t="shared" si="4"/>
        <v>94.037753232247653</v>
      </c>
    </row>
    <row r="96" spans="1:5" x14ac:dyDescent="0.35">
      <c r="A96">
        <f t="shared" si="5"/>
        <v>95</v>
      </c>
      <c r="B96">
        <f>HunterDPS!K96</f>
        <v>101.65673226468627</v>
      </c>
      <c r="C96">
        <f>KaijuSim!K96</f>
        <v>101.3964443073765</v>
      </c>
      <c r="D96" t="str">
        <f t="shared" si="3"/>
        <v>Kaiju</v>
      </c>
      <c r="E96">
        <f t="shared" si="4"/>
        <v>101.3964443073765</v>
      </c>
    </row>
    <row r="97" spans="1:5" x14ac:dyDescent="0.35">
      <c r="A97">
        <f t="shared" si="5"/>
        <v>96</v>
      </c>
      <c r="B97">
        <f>HunterDPS!K97</f>
        <v>75.444930245822604</v>
      </c>
      <c r="C97">
        <f>KaijuSim!K97</f>
        <v>99.375363360702551</v>
      </c>
      <c r="D97" t="str">
        <f t="shared" si="3"/>
        <v>Hunters</v>
      </c>
      <c r="E97">
        <f t="shared" si="4"/>
        <v>75.444930245822604</v>
      </c>
    </row>
    <row r="98" spans="1:5" x14ac:dyDescent="0.35">
      <c r="A98">
        <f t="shared" si="5"/>
        <v>97</v>
      </c>
      <c r="B98">
        <f>HunterDPS!K98</f>
        <v>92.994986286881428</v>
      </c>
      <c r="C98">
        <f>KaijuSim!K98</f>
        <v>94.212516341040939</v>
      </c>
      <c r="D98" t="str">
        <f t="shared" si="3"/>
        <v>Hunters</v>
      </c>
      <c r="E98">
        <f t="shared" si="4"/>
        <v>92.994986286881428</v>
      </c>
    </row>
    <row r="99" spans="1:5" x14ac:dyDescent="0.35">
      <c r="A99">
        <f t="shared" si="5"/>
        <v>98</v>
      </c>
      <c r="B99">
        <f>HunterDPS!K99</f>
        <v>110.5866471435225</v>
      </c>
      <c r="C99">
        <f>KaijuSim!K99</f>
        <v>95.179994634877318</v>
      </c>
      <c r="D99" t="str">
        <f t="shared" si="3"/>
        <v>Kaiju</v>
      </c>
      <c r="E99">
        <f t="shared" si="4"/>
        <v>95.179994634877318</v>
      </c>
    </row>
    <row r="100" spans="1:5" x14ac:dyDescent="0.35">
      <c r="A100">
        <f t="shared" si="5"/>
        <v>99</v>
      </c>
      <c r="B100">
        <f>HunterDPS!K100</f>
        <v>96.943387377177885</v>
      </c>
      <c r="C100">
        <f>KaijuSim!K100</f>
        <v>98.280410198782747</v>
      </c>
      <c r="D100" t="str">
        <f t="shared" si="3"/>
        <v>Hunters</v>
      </c>
      <c r="E100">
        <f t="shared" si="4"/>
        <v>96.943387377177885</v>
      </c>
    </row>
    <row r="101" spans="1:5" x14ac:dyDescent="0.35">
      <c r="A101">
        <f t="shared" si="5"/>
        <v>100</v>
      </c>
      <c r="B101">
        <f>HunterDPS!K101</f>
        <v>91.28490097991741</v>
      </c>
      <c r="C101">
        <f>KaijuSim!K101</f>
        <v>98.077814694975629</v>
      </c>
      <c r="D101" t="str">
        <f t="shared" si="3"/>
        <v>Hunters</v>
      </c>
      <c r="E101">
        <f t="shared" si="4"/>
        <v>91.28490097991741</v>
      </c>
    </row>
    <row r="102" spans="1:5" x14ac:dyDescent="0.35">
      <c r="A102">
        <f t="shared" si="5"/>
        <v>101</v>
      </c>
      <c r="B102">
        <f>HunterDPS!K102</f>
        <v>123.05855639666117</v>
      </c>
      <c r="C102">
        <f>KaijuSim!K102</f>
        <v>93.518622661914108</v>
      </c>
      <c r="D102" t="str">
        <f t="shared" si="3"/>
        <v>Kaiju</v>
      </c>
      <c r="E102">
        <f t="shared" si="4"/>
        <v>93.518622661914108</v>
      </c>
    </row>
    <row r="103" spans="1:5" x14ac:dyDescent="0.35">
      <c r="A103">
        <f t="shared" si="5"/>
        <v>102</v>
      </c>
      <c r="B103">
        <f>HunterDPS!K103</f>
        <v>83.663846023806769</v>
      </c>
      <c r="C103">
        <f>KaijuSim!K103</f>
        <v>97.776794502807306</v>
      </c>
      <c r="D103" t="str">
        <f t="shared" si="3"/>
        <v>Hunters</v>
      </c>
      <c r="E103">
        <f t="shared" si="4"/>
        <v>83.663846023806769</v>
      </c>
    </row>
    <row r="104" spans="1:5" x14ac:dyDescent="0.35">
      <c r="A104">
        <f t="shared" si="5"/>
        <v>103</v>
      </c>
      <c r="B104">
        <f>HunterDPS!K104</f>
        <v>82.526430713875882</v>
      </c>
      <c r="C104">
        <f>KaijuSim!K104</f>
        <v>95.445643419885769</v>
      </c>
      <c r="D104" t="str">
        <f t="shared" si="3"/>
        <v>Hunters</v>
      </c>
      <c r="E104">
        <f t="shared" si="4"/>
        <v>82.526430713875882</v>
      </c>
    </row>
    <row r="105" spans="1:5" x14ac:dyDescent="0.35">
      <c r="A105">
        <f t="shared" si="5"/>
        <v>104</v>
      </c>
      <c r="B105">
        <f>HunterDPS!K105</f>
        <v>85.046520169340511</v>
      </c>
      <c r="C105">
        <f>KaijuSim!K105</f>
        <v>97.503622235120616</v>
      </c>
      <c r="D105" t="str">
        <f t="shared" si="3"/>
        <v>Hunters</v>
      </c>
      <c r="E105">
        <f t="shared" si="4"/>
        <v>85.046520169340511</v>
      </c>
    </row>
    <row r="106" spans="1:5" x14ac:dyDescent="0.35">
      <c r="A106">
        <f t="shared" si="5"/>
        <v>105</v>
      </c>
      <c r="B106">
        <f>HunterDPS!K106</f>
        <v>81.642622581724169</v>
      </c>
      <c r="C106">
        <f>KaijuSim!K106</f>
        <v>95.885962281359653</v>
      </c>
      <c r="D106" t="str">
        <f t="shared" si="3"/>
        <v>Hunters</v>
      </c>
      <c r="E106">
        <f t="shared" si="4"/>
        <v>81.642622581724169</v>
      </c>
    </row>
    <row r="107" spans="1:5" x14ac:dyDescent="0.35">
      <c r="A107">
        <f t="shared" si="5"/>
        <v>106</v>
      </c>
      <c r="B107">
        <f>HunterDPS!K107</f>
        <v>110.74831501511693</v>
      </c>
      <c r="C107">
        <f>KaijuSim!K107</f>
        <v>96.804581756992761</v>
      </c>
      <c r="D107" t="str">
        <f t="shared" si="3"/>
        <v>Kaiju</v>
      </c>
      <c r="E107">
        <f t="shared" si="4"/>
        <v>96.804581756992761</v>
      </c>
    </row>
    <row r="108" spans="1:5" x14ac:dyDescent="0.35">
      <c r="A108">
        <f t="shared" si="5"/>
        <v>107</v>
      </c>
      <c r="B108">
        <f>HunterDPS!K108</f>
        <v>88.998225219003189</v>
      </c>
      <c r="C108">
        <f>KaijuSim!K108</f>
        <v>97.337526593486913</v>
      </c>
      <c r="D108" t="str">
        <f t="shared" si="3"/>
        <v>Hunters</v>
      </c>
      <c r="E108">
        <f t="shared" si="4"/>
        <v>88.998225219003189</v>
      </c>
    </row>
    <row r="109" spans="1:5" x14ac:dyDescent="0.35">
      <c r="A109">
        <f t="shared" si="5"/>
        <v>108</v>
      </c>
      <c r="B109">
        <f>HunterDPS!K109</f>
        <v>105.51769466098565</v>
      </c>
      <c r="C109">
        <f>KaijuSim!K109</f>
        <v>98.023281753657102</v>
      </c>
      <c r="D109" t="str">
        <f t="shared" si="3"/>
        <v>Kaiju</v>
      </c>
      <c r="E109">
        <f t="shared" si="4"/>
        <v>98.023281753657102</v>
      </c>
    </row>
    <row r="110" spans="1:5" x14ac:dyDescent="0.35">
      <c r="A110">
        <f t="shared" si="5"/>
        <v>109</v>
      </c>
      <c r="B110">
        <f>HunterDPS!K110</f>
        <v>94.984654007258612</v>
      </c>
      <c r="C110">
        <f>KaijuSim!K110</f>
        <v>95.405756828316598</v>
      </c>
      <c r="D110" t="str">
        <f t="shared" si="3"/>
        <v>Hunters</v>
      </c>
      <c r="E110">
        <f t="shared" si="4"/>
        <v>94.984654007258612</v>
      </c>
    </row>
    <row r="111" spans="1:5" x14ac:dyDescent="0.35">
      <c r="A111">
        <f t="shared" si="5"/>
        <v>110</v>
      </c>
      <c r="B111">
        <f>HunterDPS!K111</f>
        <v>83.999626527920327</v>
      </c>
      <c r="C111">
        <f>KaijuSim!K111</f>
        <v>96.894903595103116</v>
      </c>
      <c r="D111" t="str">
        <f t="shared" si="3"/>
        <v>Hunters</v>
      </c>
      <c r="E111">
        <f t="shared" si="4"/>
        <v>83.999626527920327</v>
      </c>
    </row>
    <row r="112" spans="1:5" x14ac:dyDescent="0.35">
      <c r="A112">
        <f t="shared" si="5"/>
        <v>111</v>
      </c>
      <c r="B112">
        <f>HunterDPS!K112</f>
        <v>101.51464647873108</v>
      </c>
      <c r="C112">
        <f>KaijuSim!K112</f>
        <v>96.120579987673025</v>
      </c>
      <c r="D112" t="str">
        <f t="shared" si="3"/>
        <v>Kaiju</v>
      </c>
      <c r="E112">
        <f t="shared" si="4"/>
        <v>96.120579987673025</v>
      </c>
    </row>
    <row r="113" spans="1:5" x14ac:dyDescent="0.35">
      <c r="A113">
        <f t="shared" si="5"/>
        <v>112</v>
      </c>
      <c r="B113">
        <f>HunterDPS!K113</f>
        <v>75.787320876314183</v>
      </c>
      <c r="C113">
        <f>KaijuSim!K113</f>
        <v>97.047818066044385</v>
      </c>
      <c r="D113" t="str">
        <f t="shared" si="3"/>
        <v>Hunters</v>
      </c>
      <c r="E113">
        <f t="shared" si="4"/>
        <v>75.787320876314183</v>
      </c>
    </row>
    <row r="114" spans="1:5" x14ac:dyDescent="0.35">
      <c r="A114">
        <f t="shared" si="5"/>
        <v>113</v>
      </c>
      <c r="B114">
        <f>HunterDPS!K114</f>
        <v>98.265919109061585</v>
      </c>
      <c r="C114">
        <f>KaijuSim!K114</f>
        <v>102.57966016897139</v>
      </c>
      <c r="D114" t="str">
        <f t="shared" si="3"/>
        <v>Hunters</v>
      </c>
      <c r="E114">
        <f t="shared" si="4"/>
        <v>98.265919109061585</v>
      </c>
    </row>
    <row r="115" spans="1:5" x14ac:dyDescent="0.35">
      <c r="A115">
        <f t="shared" si="5"/>
        <v>114</v>
      </c>
      <c r="B115">
        <f>HunterDPS!K115</f>
        <v>107.41432056218086</v>
      </c>
      <c r="C115">
        <f>KaijuSim!K115</f>
        <v>94.485247694950289</v>
      </c>
      <c r="D115" t="str">
        <f t="shared" si="3"/>
        <v>Kaiju</v>
      </c>
      <c r="E115">
        <f t="shared" si="4"/>
        <v>94.485247694950289</v>
      </c>
    </row>
    <row r="116" spans="1:5" x14ac:dyDescent="0.35">
      <c r="A116">
        <f t="shared" si="5"/>
        <v>115</v>
      </c>
      <c r="B116">
        <f>HunterDPS!K116</f>
        <v>104.58486481811994</v>
      </c>
      <c r="C116">
        <f>KaijuSim!K116</f>
        <v>95.407844716172818</v>
      </c>
      <c r="D116" t="str">
        <f t="shared" si="3"/>
        <v>Kaiju</v>
      </c>
      <c r="E116">
        <f t="shared" si="4"/>
        <v>95.407844716172818</v>
      </c>
    </row>
    <row r="117" spans="1:5" x14ac:dyDescent="0.35">
      <c r="A117">
        <f t="shared" si="5"/>
        <v>116</v>
      </c>
      <c r="B117">
        <f>HunterDPS!K117</f>
        <v>99.949316577037436</v>
      </c>
      <c r="C117">
        <f>KaijuSim!K117</f>
        <v>100.27707679530322</v>
      </c>
      <c r="D117" t="str">
        <f t="shared" si="3"/>
        <v>Hunters</v>
      </c>
      <c r="E117">
        <f t="shared" si="4"/>
        <v>99.949316577037436</v>
      </c>
    </row>
    <row r="118" spans="1:5" x14ac:dyDescent="0.35">
      <c r="A118">
        <f t="shared" si="5"/>
        <v>117</v>
      </c>
      <c r="B118">
        <f>HunterDPS!K118</f>
        <v>98.396848338285309</v>
      </c>
      <c r="C118">
        <f>KaijuSim!K118</f>
        <v>97.155043202188082</v>
      </c>
      <c r="D118" t="str">
        <f t="shared" si="3"/>
        <v>Kaiju</v>
      </c>
      <c r="E118">
        <f t="shared" si="4"/>
        <v>97.155043202188082</v>
      </c>
    </row>
    <row r="119" spans="1:5" x14ac:dyDescent="0.35">
      <c r="A119">
        <f t="shared" si="5"/>
        <v>118</v>
      </c>
      <c r="B119">
        <f>HunterDPS!K119</f>
        <v>101.468829605837</v>
      </c>
      <c r="C119">
        <f>KaijuSim!K119</f>
        <v>96.040670116346689</v>
      </c>
      <c r="D119" t="str">
        <f t="shared" si="3"/>
        <v>Kaiju</v>
      </c>
      <c r="E119">
        <f t="shared" si="4"/>
        <v>96.040670116346689</v>
      </c>
    </row>
    <row r="120" spans="1:5" x14ac:dyDescent="0.35">
      <c r="A120">
        <f t="shared" si="5"/>
        <v>119</v>
      </c>
      <c r="B120">
        <f>HunterDPS!K120</f>
        <v>87.958811813552032</v>
      </c>
      <c r="C120">
        <f>KaijuSim!K120</f>
        <v>95.75397437114718</v>
      </c>
      <c r="D120" t="str">
        <f t="shared" si="3"/>
        <v>Hunters</v>
      </c>
      <c r="E120">
        <f t="shared" si="4"/>
        <v>87.958811813552032</v>
      </c>
    </row>
    <row r="121" spans="1:5" x14ac:dyDescent="0.35">
      <c r="A121">
        <f t="shared" si="5"/>
        <v>120</v>
      </c>
      <c r="B121">
        <f>HunterDPS!K121</f>
        <v>93.205071887298843</v>
      </c>
      <c r="C121">
        <f>KaijuSim!K121</f>
        <v>99.048922117331259</v>
      </c>
      <c r="D121" t="str">
        <f t="shared" si="3"/>
        <v>Hunters</v>
      </c>
      <c r="E121">
        <f t="shared" si="4"/>
        <v>93.205071887298843</v>
      </c>
    </row>
    <row r="122" spans="1:5" x14ac:dyDescent="0.35">
      <c r="A122">
        <f t="shared" si="5"/>
        <v>121</v>
      </c>
      <c r="B122">
        <f>HunterDPS!K122</f>
        <v>81.59265206365211</v>
      </c>
      <c r="C122">
        <f>KaijuSim!K122</f>
        <v>99.730623423357486</v>
      </c>
      <c r="D122" t="str">
        <f t="shared" si="3"/>
        <v>Hunters</v>
      </c>
      <c r="E122">
        <f t="shared" si="4"/>
        <v>81.59265206365211</v>
      </c>
    </row>
    <row r="123" spans="1:5" x14ac:dyDescent="0.35">
      <c r="A123">
        <f t="shared" si="5"/>
        <v>122</v>
      </c>
      <c r="B123">
        <f>HunterDPS!K123</f>
        <v>95.905950861820372</v>
      </c>
      <c r="C123">
        <f>KaijuSim!K123</f>
        <v>99.343467422128114</v>
      </c>
      <c r="D123" t="str">
        <f t="shared" si="3"/>
        <v>Hunters</v>
      </c>
      <c r="E123">
        <f t="shared" si="4"/>
        <v>95.905950861820372</v>
      </c>
    </row>
    <row r="124" spans="1:5" x14ac:dyDescent="0.35">
      <c r="A124">
        <f t="shared" si="5"/>
        <v>123</v>
      </c>
      <c r="B124">
        <f>HunterDPS!K124</f>
        <v>93.278158761439869</v>
      </c>
      <c r="C124">
        <f>KaijuSim!K124</f>
        <v>94.271989475761671</v>
      </c>
      <c r="D124" t="str">
        <f t="shared" si="3"/>
        <v>Hunters</v>
      </c>
      <c r="E124">
        <f t="shared" si="4"/>
        <v>93.278158761439869</v>
      </c>
    </row>
    <row r="125" spans="1:5" x14ac:dyDescent="0.35">
      <c r="A125">
        <f t="shared" si="5"/>
        <v>124</v>
      </c>
      <c r="B125">
        <f>HunterDPS!K125</f>
        <v>84.788589924862379</v>
      </c>
      <c r="C125">
        <f>KaijuSim!K125</f>
        <v>101.79726319098403</v>
      </c>
      <c r="D125" t="str">
        <f t="shared" si="3"/>
        <v>Hunters</v>
      </c>
      <c r="E125">
        <f t="shared" si="4"/>
        <v>84.788589924862379</v>
      </c>
    </row>
    <row r="126" spans="1:5" x14ac:dyDescent="0.35">
      <c r="A126">
        <f t="shared" si="5"/>
        <v>125</v>
      </c>
      <c r="B126">
        <f>HunterDPS!K126</f>
        <v>87.876486869489952</v>
      </c>
      <c r="C126">
        <f>KaijuSim!K126</f>
        <v>94.642542245587407</v>
      </c>
      <c r="D126" t="str">
        <f t="shared" si="3"/>
        <v>Hunters</v>
      </c>
      <c r="E126">
        <f t="shared" si="4"/>
        <v>87.876486869489952</v>
      </c>
    </row>
    <row r="127" spans="1:5" x14ac:dyDescent="0.35">
      <c r="A127">
        <f t="shared" si="5"/>
        <v>126</v>
      </c>
      <c r="B127">
        <f>HunterDPS!K127</f>
        <v>111.76295644993277</v>
      </c>
      <c r="C127">
        <f>KaijuSim!K127</f>
        <v>93.821888199515868</v>
      </c>
      <c r="D127" t="str">
        <f t="shared" si="3"/>
        <v>Kaiju</v>
      </c>
      <c r="E127">
        <f t="shared" si="4"/>
        <v>93.821888199515868</v>
      </c>
    </row>
    <row r="128" spans="1:5" x14ac:dyDescent="0.35">
      <c r="A128">
        <f t="shared" si="5"/>
        <v>127</v>
      </c>
      <c r="B128">
        <f>HunterDPS!K128</f>
        <v>112.17249599298879</v>
      </c>
      <c r="C128">
        <f>KaijuSim!K128</f>
        <v>92.902268539007864</v>
      </c>
      <c r="D128" t="str">
        <f t="shared" si="3"/>
        <v>Kaiju</v>
      </c>
      <c r="E128">
        <f t="shared" si="4"/>
        <v>92.902268539007864</v>
      </c>
    </row>
    <row r="129" spans="1:5" x14ac:dyDescent="0.35">
      <c r="A129">
        <f t="shared" si="5"/>
        <v>128</v>
      </c>
      <c r="B129">
        <f>HunterDPS!K129</f>
        <v>96.501583505012391</v>
      </c>
      <c r="C129">
        <f>KaijuSim!K129</f>
        <v>97.229331025995165</v>
      </c>
      <c r="D129" t="str">
        <f t="shared" si="3"/>
        <v>Hunters</v>
      </c>
      <c r="E129">
        <f t="shared" si="4"/>
        <v>96.501583505012391</v>
      </c>
    </row>
    <row r="130" spans="1:5" x14ac:dyDescent="0.35">
      <c r="A130">
        <f t="shared" si="5"/>
        <v>129</v>
      </c>
      <c r="B130">
        <f>HunterDPS!K130</f>
        <v>107.82592366042672</v>
      </c>
      <c r="C130">
        <f>KaijuSim!K130</f>
        <v>95.769552529928319</v>
      </c>
      <c r="D130" t="str">
        <f t="shared" si="3"/>
        <v>Kaiju</v>
      </c>
      <c r="E130">
        <f t="shared" si="4"/>
        <v>95.769552529928319</v>
      </c>
    </row>
    <row r="131" spans="1:5" x14ac:dyDescent="0.35">
      <c r="A131">
        <f t="shared" si="5"/>
        <v>130</v>
      </c>
      <c r="B131">
        <f>HunterDPS!K131</f>
        <v>95.18095180843325</v>
      </c>
      <c r="C131">
        <f>KaijuSim!K131</f>
        <v>100.3532152636301</v>
      </c>
      <c r="D131" t="str">
        <f t="shared" ref="D131:D194" si="6">IF(B131 &lt; C131, "Hunters", "Kaiju")</f>
        <v>Hunters</v>
      </c>
      <c r="E131">
        <f t="shared" ref="E131:E194" si="7">MIN(B131, C131)</f>
        <v>95.18095180843325</v>
      </c>
    </row>
    <row r="132" spans="1:5" x14ac:dyDescent="0.35">
      <c r="A132">
        <f t="shared" ref="A132:A195" si="8">A131+1</f>
        <v>131</v>
      </c>
      <c r="B132">
        <f>HunterDPS!K132</f>
        <v>103.98089741256479</v>
      </c>
      <c r="C132">
        <f>KaijuSim!K132</f>
        <v>100.67472378756405</v>
      </c>
      <c r="D132" t="str">
        <f t="shared" si="6"/>
        <v>Kaiju</v>
      </c>
      <c r="E132">
        <f t="shared" si="7"/>
        <v>100.67472378756405</v>
      </c>
    </row>
    <row r="133" spans="1:5" x14ac:dyDescent="0.35">
      <c r="A133">
        <f t="shared" si="8"/>
        <v>132</v>
      </c>
      <c r="B133">
        <f>HunterDPS!K133</f>
        <v>81.161977203533112</v>
      </c>
      <c r="C133">
        <f>KaijuSim!K133</f>
        <v>100.59737078618839</v>
      </c>
      <c r="D133" t="str">
        <f t="shared" si="6"/>
        <v>Hunters</v>
      </c>
      <c r="E133">
        <f t="shared" si="7"/>
        <v>81.161977203533112</v>
      </c>
    </row>
    <row r="134" spans="1:5" x14ac:dyDescent="0.35">
      <c r="A134">
        <f t="shared" si="8"/>
        <v>133</v>
      </c>
      <c r="B134">
        <f>HunterDPS!K134</f>
        <v>98.961417590095863</v>
      </c>
      <c r="C134">
        <f>KaijuSim!K134</f>
        <v>90.983702539108208</v>
      </c>
      <c r="D134" t="str">
        <f t="shared" si="6"/>
        <v>Kaiju</v>
      </c>
      <c r="E134">
        <f t="shared" si="7"/>
        <v>90.983702539108208</v>
      </c>
    </row>
    <row r="135" spans="1:5" x14ac:dyDescent="0.35">
      <c r="A135">
        <f t="shared" si="8"/>
        <v>134</v>
      </c>
      <c r="B135">
        <f>HunterDPS!K135</f>
        <v>115.5974942490931</v>
      </c>
      <c r="C135">
        <f>KaijuSim!K135</f>
        <v>94.680876275400024</v>
      </c>
      <c r="D135" t="str">
        <f t="shared" si="6"/>
        <v>Kaiju</v>
      </c>
      <c r="E135">
        <f t="shared" si="7"/>
        <v>94.680876275400024</v>
      </c>
    </row>
    <row r="136" spans="1:5" x14ac:dyDescent="0.35">
      <c r="A136">
        <f t="shared" si="8"/>
        <v>135</v>
      </c>
      <c r="B136">
        <f>HunterDPS!K136</f>
        <v>102.82603344814498</v>
      </c>
      <c r="C136">
        <f>KaijuSim!K136</f>
        <v>100.42166575424059</v>
      </c>
      <c r="D136" t="str">
        <f t="shared" si="6"/>
        <v>Kaiju</v>
      </c>
      <c r="E136">
        <f t="shared" si="7"/>
        <v>100.42166575424059</v>
      </c>
    </row>
    <row r="137" spans="1:5" x14ac:dyDescent="0.35">
      <c r="A137">
        <f t="shared" si="8"/>
        <v>136</v>
      </c>
      <c r="B137">
        <f>HunterDPS!K137</f>
        <v>92.501665747260901</v>
      </c>
      <c r="C137">
        <f>KaijuSim!K137</f>
        <v>95.825534285898968</v>
      </c>
      <c r="D137" t="str">
        <f t="shared" si="6"/>
        <v>Hunters</v>
      </c>
      <c r="E137">
        <f t="shared" si="7"/>
        <v>92.501665747260901</v>
      </c>
    </row>
    <row r="138" spans="1:5" x14ac:dyDescent="0.35">
      <c r="A138">
        <f t="shared" si="8"/>
        <v>137</v>
      </c>
      <c r="B138">
        <f>HunterDPS!K138</f>
        <v>96.624145732210991</v>
      </c>
      <c r="C138">
        <f>KaijuSim!K138</f>
        <v>97.774441684678209</v>
      </c>
      <c r="D138" t="str">
        <f t="shared" si="6"/>
        <v>Hunters</v>
      </c>
      <c r="E138">
        <f t="shared" si="7"/>
        <v>96.624145732210991</v>
      </c>
    </row>
    <row r="139" spans="1:5" x14ac:dyDescent="0.35">
      <c r="A139">
        <f t="shared" si="8"/>
        <v>138</v>
      </c>
      <c r="B139">
        <f>HunterDPS!K139</f>
        <v>120.21845541018197</v>
      </c>
      <c r="C139">
        <f>KaijuSim!K139</f>
        <v>94.088494485710683</v>
      </c>
      <c r="D139" t="str">
        <f t="shared" si="6"/>
        <v>Kaiju</v>
      </c>
      <c r="E139">
        <f t="shared" si="7"/>
        <v>94.088494485710683</v>
      </c>
    </row>
    <row r="140" spans="1:5" x14ac:dyDescent="0.35">
      <c r="A140">
        <f t="shared" si="8"/>
        <v>139</v>
      </c>
      <c r="B140">
        <f>HunterDPS!K140</f>
        <v>88.880085604349404</v>
      </c>
      <c r="C140">
        <f>KaijuSim!K140</f>
        <v>93.774049026016328</v>
      </c>
      <c r="D140" t="str">
        <f t="shared" si="6"/>
        <v>Hunters</v>
      </c>
      <c r="E140">
        <f t="shared" si="7"/>
        <v>88.880085604349404</v>
      </c>
    </row>
    <row r="141" spans="1:5" x14ac:dyDescent="0.35">
      <c r="A141">
        <f t="shared" si="8"/>
        <v>140</v>
      </c>
      <c r="B141">
        <f>HunterDPS!K141</f>
        <v>86.835994801901833</v>
      </c>
      <c r="C141">
        <f>KaijuSim!K141</f>
        <v>92.220804465922185</v>
      </c>
      <c r="D141" t="str">
        <f t="shared" si="6"/>
        <v>Hunters</v>
      </c>
      <c r="E141">
        <f t="shared" si="7"/>
        <v>86.835994801901833</v>
      </c>
    </row>
    <row r="142" spans="1:5" x14ac:dyDescent="0.35">
      <c r="A142">
        <f t="shared" si="8"/>
        <v>141</v>
      </c>
      <c r="B142">
        <f>HunterDPS!K142</f>
        <v>80.233206557837121</v>
      </c>
      <c r="C142">
        <f>KaijuSim!K142</f>
        <v>97.170100181517398</v>
      </c>
      <c r="D142" t="str">
        <f t="shared" si="6"/>
        <v>Hunters</v>
      </c>
      <c r="E142">
        <f t="shared" si="7"/>
        <v>80.233206557837121</v>
      </c>
    </row>
    <row r="143" spans="1:5" x14ac:dyDescent="0.35">
      <c r="A143">
        <f t="shared" si="8"/>
        <v>142</v>
      </c>
      <c r="B143">
        <f>HunterDPS!K143</f>
        <v>88.762451451721105</v>
      </c>
      <c r="C143">
        <f>KaijuSim!K143</f>
        <v>92.556163242560089</v>
      </c>
      <c r="D143" t="str">
        <f t="shared" si="6"/>
        <v>Hunters</v>
      </c>
      <c r="E143">
        <f t="shared" si="7"/>
        <v>88.762451451721105</v>
      </c>
    </row>
    <row r="144" spans="1:5" x14ac:dyDescent="0.35">
      <c r="A144">
        <f t="shared" si="8"/>
        <v>143</v>
      </c>
      <c r="B144">
        <f>HunterDPS!K144</f>
        <v>106.68269472018775</v>
      </c>
      <c r="C144">
        <f>KaijuSim!K144</f>
        <v>99.51534197367296</v>
      </c>
      <c r="D144" t="str">
        <f t="shared" si="6"/>
        <v>Kaiju</v>
      </c>
      <c r="E144">
        <f t="shared" si="7"/>
        <v>99.51534197367296</v>
      </c>
    </row>
    <row r="145" spans="1:5" x14ac:dyDescent="0.35">
      <c r="A145">
        <f t="shared" si="8"/>
        <v>144</v>
      </c>
      <c r="B145">
        <f>HunterDPS!K145</f>
        <v>104.16628050100103</v>
      </c>
      <c r="C145">
        <f>KaijuSim!K145</f>
        <v>92.838774236823198</v>
      </c>
      <c r="D145" t="str">
        <f t="shared" si="6"/>
        <v>Kaiju</v>
      </c>
      <c r="E145">
        <f t="shared" si="7"/>
        <v>92.838774236823198</v>
      </c>
    </row>
    <row r="146" spans="1:5" x14ac:dyDescent="0.35">
      <c r="A146">
        <f t="shared" si="8"/>
        <v>145</v>
      </c>
      <c r="B146">
        <f>HunterDPS!K146</f>
        <v>87.181148021422899</v>
      </c>
      <c r="C146">
        <f>KaijuSim!K146</f>
        <v>93.888335471948551</v>
      </c>
      <c r="D146" t="str">
        <f t="shared" si="6"/>
        <v>Hunters</v>
      </c>
      <c r="E146">
        <f t="shared" si="7"/>
        <v>87.181148021422899</v>
      </c>
    </row>
    <row r="147" spans="1:5" x14ac:dyDescent="0.35">
      <c r="A147">
        <f t="shared" si="8"/>
        <v>146</v>
      </c>
      <c r="B147">
        <f>HunterDPS!K147</f>
        <v>93.482985418999547</v>
      </c>
      <c r="C147">
        <f>KaijuSim!K147</f>
        <v>89.179580111501551</v>
      </c>
      <c r="D147" t="str">
        <f t="shared" si="6"/>
        <v>Kaiju</v>
      </c>
      <c r="E147">
        <f t="shared" si="7"/>
        <v>89.179580111501551</v>
      </c>
    </row>
    <row r="148" spans="1:5" x14ac:dyDescent="0.35">
      <c r="A148">
        <f t="shared" si="8"/>
        <v>147</v>
      </c>
      <c r="B148">
        <f>HunterDPS!K148</f>
        <v>104.37562194424477</v>
      </c>
      <c r="C148">
        <f>KaijuSim!K148</f>
        <v>94.636656560235195</v>
      </c>
      <c r="D148" t="str">
        <f t="shared" si="6"/>
        <v>Kaiju</v>
      </c>
      <c r="E148">
        <f t="shared" si="7"/>
        <v>94.636656560235195</v>
      </c>
    </row>
    <row r="149" spans="1:5" x14ac:dyDescent="0.35">
      <c r="A149">
        <f t="shared" si="8"/>
        <v>148</v>
      </c>
      <c r="B149">
        <f>HunterDPS!K149</f>
        <v>86.244340376832497</v>
      </c>
      <c r="C149">
        <f>KaijuSim!K149</f>
        <v>96.158069990367053</v>
      </c>
      <c r="D149" t="str">
        <f t="shared" si="6"/>
        <v>Hunters</v>
      </c>
      <c r="E149">
        <f t="shared" si="7"/>
        <v>86.244340376832497</v>
      </c>
    </row>
    <row r="150" spans="1:5" x14ac:dyDescent="0.35">
      <c r="A150">
        <f t="shared" si="8"/>
        <v>149</v>
      </c>
      <c r="B150">
        <f>HunterDPS!K150</f>
        <v>93.896028468195084</v>
      </c>
      <c r="C150">
        <f>KaijuSim!K150</f>
        <v>92.232413156472688</v>
      </c>
      <c r="D150" t="str">
        <f t="shared" si="6"/>
        <v>Kaiju</v>
      </c>
      <c r="E150">
        <f t="shared" si="7"/>
        <v>92.232413156472688</v>
      </c>
    </row>
    <row r="151" spans="1:5" x14ac:dyDescent="0.35">
      <c r="A151">
        <f t="shared" si="8"/>
        <v>150</v>
      </c>
      <c r="B151">
        <f>HunterDPS!K151</f>
        <v>104.06111699083598</v>
      </c>
      <c r="C151">
        <f>KaijuSim!K151</f>
        <v>94.942362069628189</v>
      </c>
      <c r="D151" t="str">
        <f t="shared" si="6"/>
        <v>Kaiju</v>
      </c>
      <c r="E151">
        <f t="shared" si="7"/>
        <v>94.942362069628189</v>
      </c>
    </row>
    <row r="152" spans="1:5" x14ac:dyDescent="0.35">
      <c r="A152">
        <f t="shared" si="8"/>
        <v>151</v>
      </c>
      <c r="B152">
        <f>HunterDPS!K152</f>
        <v>100.56250267352618</v>
      </c>
      <c r="C152">
        <f>KaijuSim!K152</f>
        <v>94.779973321403673</v>
      </c>
      <c r="D152" t="str">
        <f t="shared" si="6"/>
        <v>Kaiju</v>
      </c>
      <c r="E152">
        <f t="shared" si="7"/>
        <v>94.779973321403673</v>
      </c>
    </row>
    <row r="153" spans="1:5" x14ac:dyDescent="0.35">
      <c r="A153">
        <f t="shared" si="8"/>
        <v>152</v>
      </c>
      <c r="B153">
        <f>HunterDPS!K153</f>
        <v>101.9247090590638</v>
      </c>
      <c r="C153">
        <f>KaijuSim!K153</f>
        <v>94.143973933150335</v>
      </c>
      <c r="D153" t="str">
        <f t="shared" si="6"/>
        <v>Kaiju</v>
      </c>
      <c r="E153">
        <f t="shared" si="7"/>
        <v>94.143973933150335</v>
      </c>
    </row>
    <row r="154" spans="1:5" x14ac:dyDescent="0.35">
      <c r="A154">
        <f t="shared" si="8"/>
        <v>153</v>
      </c>
      <c r="B154">
        <f>HunterDPS!K154</f>
        <v>78.874234782333929</v>
      </c>
      <c r="C154">
        <f>KaijuSim!K154</f>
        <v>89.508204167625266</v>
      </c>
      <c r="D154" t="str">
        <f t="shared" si="6"/>
        <v>Hunters</v>
      </c>
      <c r="E154">
        <f t="shared" si="7"/>
        <v>78.874234782333929</v>
      </c>
    </row>
    <row r="155" spans="1:5" x14ac:dyDescent="0.35">
      <c r="A155">
        <f t="shared" si="8"/>
        <v>154</v>
      </c>
      <c r="B155">
        <f>HunterDPS!K155</f>
        <v>107.29963580289582</v>
      </c>
      <c r="C155">
        <f>KaijuSim!K155</f>
        <v>96.244147842767404</v>
      </c>
      <c r="D155" t="str">
        <f t="shared" si="6"/>
        <v>Kaiju</v>
      </c>
      <c r="E155">
        <f t="shared" si="7"/>
        <v>96.244147842767404</v>
      </c>
    </row>
    <row r="156" spans="1:5" x14ac:dyDescent="0.35">
      <c r="A156">
        <f t="shared" si="8"/>
        <v>155</v>
      </c>
      <c r="B156">
        <f>HunterDPS!K156</f>
        <v>90.193522499713893</v>
      </c>
      <c r="C156">
        <f>KaijuSim!K156</f>
        <v>91.045622486090778</v>
      </c>
      <c r="D156" t="str">
        <f t="shared" si="6"/>
        <v>Hunters</v>
      </c>
      <c r="E156">
        <f t="shared" si="7"/>
        <v>90.193522499713893</v>
      </c>
    </row>
    <row r="157" spans="1:5" x14ac:dyDescent="0.35">
      <c r="A157">
        <f t="shared" si="8"/>
        <v>156</v>
      </c>
      <c r="B157">
        <f>HunterDPS!K157</f>
        <v>90.864033849773193</v>
      </c>
      <c r="C157">
        <f>KaijuSim!K157</f>
        <v>90.269948056023992</v>
      </c>
      <c r="D157" t="str">
        <f t="shared" si="6"/>
        <v>Kaiju</v>
      </c>
      <c r="E157">
        <f t="shared" si="7"/>
        <v>90.269948056023992</v>
      </c>
    </row>
    <row r="158" spans="1:5" x14ac:dyDescent="0.35">
      <c r="A158">
        <f t="shared" si="8"/>
        <v>157</v>
      </c>
      <c r="B158">
        <f>HunterDPS!K158</f>
        <v>87.932689844531765</v>
      </c>
      <c r="C158">
        <f>KaijuSim!K158</f>
        <v>99.208625560949898</v>
      </c>
      <c r="D158" t="str">
        <f t="shared" si="6"/>
        <v>Hunters</v>
      </c>
      <c r="E158">
        <f t="shared" si="7"/>
        <v>87.932689844531765</v>
      </c>
    </row>
    <row r="159" spans="1:5" x14ac:dyDescent="0.35">
      <c r="A159">
        <f t="shared" si="8"/>
        <v>158</v>
      </c>
      <c r="B159">
        <f>HunterDPS!K159</f>
        <v>97.873468051219277</v>
      </c>
      <c r="C159">
        <f>KaijuSim!K159</f>
        <v>96.088140010584098</v>
      </c>
      <c r="D159" t="str">
        <f t="shared" si="6"/>
        <v>Kaiju</v>
      </c>
      <c r="E159">
        <f t="shared" si="7"/>
        <v>96.088140010584098</v>
      </c>
    </row>
    <row r="160" spans="1:5" x14ac:dyDescent="0.35">
      <c r="A160">
        <f t="shared" si="8"/>
        <v>159</v>
      </c>
      <c r="B160">
        <f>HunterDPS!K160</f>
        <v>103.74852090135039</v>
      </c>
      <c r="C160">
        <f>KaijuSim!K160</f>
        <v>97.628878540876883</v>
      </c>
      <c r="D160" t="str">
        <f t="shared" si="6"/>
        <v>Kaiju</v>
      </c>
      <c r="E160">
        <f t="shared" si="7"/>
        <v>97.628878540876883</v>
      </c>
    </row>
    <row r="161" spans="1:5" x14ac:dyDescent="0.35">
      <c r="A161">
        <f t="shared" si="8"/>
        <v>160</v>
      </c>
      <c r="B161">
        <f>HunterDPS!K161</f>
        <v>128.9804858565935</v>
      </c>
      <c r="C161">
        <f>KaijuSim!K161</f>
        <v>95.777376630555636</v>
      </c>
      <c r="D161" t="str">
        <f t="shared" si="6"/>
        <v>Kaiju</v>
      </c>
      <c r="E161">
        <f t="shared" si="7"/>
        <v>95.777376630555636</v>
      </c>
    </row>
    <row r="162" spans="1:5" x14ac:dyDescent="0.35">
      <c r="A162">
        <f t="shared" si="8"/>
        <v>161</v>
      </c>
      <c r="B162">
        <f>HunterDPS!K162</f>
        <v>86.82143722680668</v>
      </c>
      <c r="C162">
        <f>KaijuSim!K162</f>
        <v>92.833383598027183</v>
      </c>
      <c r="D162" t="str">
        <f t="shared" si="6"/>
        <v>Hunters</v>
      </c>
      <c r="E162">
        <f t="shared" si="7"/>
        <v>86.82143722680668</v>
      </c>
    </row>
    <row r="163" spans="1:5" x14ac:dyDescent="0.35">
      <c r="A163">
        <f t="shared" si="8"/>
        <v>162</v>
      </c>
      <c r="B163">
        <f>HunterDPS!K163</f>
        <v>105.01041467582824</v>
      </c>
      <c r="C163">
        <f>KaijuSim!K163</f>
        <v>94.862207946382156</v>
      </c>
      <c r="D163" t="str">
        <f t="shared" si="6"/>
        <v>Kaiju</v>
      </c>
      <c r="E163">
        <f t="shared" si="7"/>
        <v>94.862207946382156</v>
      </c>
    </row>
    <row r="164" spans="1:5" x14ac:dyDescent="0.35">
      <c r="A164">
        <f t="shared" si="8"/>
        <v>163</v>
      </c>
      <c r="B164">
        <f>HunterDPS!K164</f>
        <v>85.865313029146591</v>
      </c>
      <c r="C164">
        <f>KaijuSim!K164</f>
        <v>94.428134094914626</v>
      </c>
      <c r="D164" t="str">
        <f t="shared" si="6"/>
        <v>Hunters</v>
      </c>
      <c r="E164">
        <f t="shared" si="7"/>
        <v>85.865313029146591</v>
      </c>
    </row>
    <row r="165" spans="1:5" x14ac:dyDescent="0.35">
      <c r="A165">
        <f t="shared" si="8"/>
        <v>164</v>
      </c>
      <c r="B165">
        <f>HunterDPS!K165</f>
        <v>87.23259318130961</v>
      </c>
      <c r="C165">
        <f>KaijuSim!K165</f>
        <v>91.916485647665468</v>
      </c>
      <c r="D165" t="str">
        <f t="shared" si="6"/>
        <v>Hunters</v>
      </c>
      <c r="E165">
        <f t="shared" si="7"/>
        <v>87.23259318130961</v>
      </c>
    </row>
    <row r="166" spans="1:5" x14ac:dyDescent="0.35">
      <c r="A166">
        <f t="shared" si="8"/>
        <v>165</v>
      </c>
      <c r="B166">
        <f>HunterDPS!K166</f>
        <v>111.43409140451203</v>
      </c>
      <c r="C166">
        <f>KaijuSim!K166</f>
        <v>95.598326389972513</v>
      </c>
      <c r="D166" t="str">
        <f t="shared" si="6"/>
        <v>Kaiju</v>
      </c>
      <c r="E166">
        <f t="shared" si="7"/>
        <v>95.598326389972513</v>
      </c>
    </row>
    <row r="167" spans="1:5" x14ac:dyDescent="0.35">
      <c r="A167">
        <f t="shared" si="8"/>
        <v>166</v>
      </c>
      <c r="B167">
        <f>HunterDPS!K167</f>
        <v>95.898813575513486</v>
      </c>
      <c r="C167">
        <f>KaijuSim!K167</f>
        <v>89.920521101426132</v>
      </c>
      <c r="D167" t="str">
        <f t="shared" si="6"/>
        <v>Kaiju</v>
      </c>
      <c r="E167">
        <f t="shared" si="7"/>
        <v>89.920521101426132</v>
      </c>
    </row>
    <row r="168" spans="1:5" x14ac:dyDescent="0.35">
      <c r="A168">
        <f t="shared" si="8"/>
        <v>167</v>
      </c>
      <c r="B168">
        <f>HunterDPS!K168</f>
        <v>100.90635930871443</v>
      </c>
      <c r="C168">
        <f>KaijuSim!K168</f>
        <v>94.885281860235779</v>
      </c>
      <c r="D168" t="str">
        <f t="shared" si="6"/>
        <v>Kaiju</v>
      </c>
      <c r="E168">
        <f t="shared" si="7"/>
        <v>94.885281860235779</v>
      </c>
    </row>
    <row r="169" spans="1:5" x14ac:dyDescent="0.35">
      <c r="A169">
        <f t="shared" si="8"/>
        <v>168</v>
      </c>
      <c r="B169">
        <f>HunterDPS!K169</f>
        <v>93.958201421425315</v>
      </c>
      <c r="C169">
        <f>KaijuSim!K169</f>
        <v>90.192440303989784</v>
      </c>
      <c r="D169" t="str">
        <f t="shared" si="6"/>
        <v>Kaiju</v>
      </c>
      <c r="E169">
        <f t="shared" si="7"/>
        <v>90.192440303989784</v>
      </c>
    </row>
    <row r="170" spans="1:5" x14ac:dyDescent="0.35">
      <c r="A170">
        <f t="shared" si="8"/>
        <v>169</v>
      </c>
      <c r="B170">
        <f>HunterDPS!K170</f>
        <v>89.752838964967282</v>
      </c>
      <c r="C170">
        <f>KaijuSim!K170</f>
        <v>94.961199438493523</v>
      </c>
      <c r="D170" t="str">
        <f t="shared" si="6"/>
        <v>Hunters</v>
      </c>
      <c r="E170">
        <f t="shared" si="7"/>
        <v>89.752838964967282</v>
      </c>
    </row>
    <row r="171" spans="1:5" x14ac:dyDescent="0.35">
      <c r="A171">
        <f t="shared" si="8"/>
        <v>170</v>
      </c>
      <c r="B171">
        <f>HunterDPS!K171</f>
        <v>99.573041122432628</v>
      </c>
      <c r="C171">
        <f>KaijuSim!K171</f>
        <v>92.272776473495441</v>
      </c>
      <c r="D171" t="str">
        <f t="shared" si="6"/>
        <v>Kaiju</v>
      </c>
      <c r="E171">
        <f t="shared" si="7"/>
        <v>92.272776473495441</v>
      </c>
    </row>
    <row r="172" spans="1:5" x14ac:dyDescent="0.35">
      <c r="A172">
        <f t="shared" si="8"/>
        <v>171</v>
      </c>
      <c r="B172">
        <f>HunterDPS!K172</f>
        <v>96.123911547131996</v>
      </c>
      <c r="C172">
        <f>KaijuSim!K172</f>
        <v>92.822916859081587</v>
      </c>
      <c r="D172" t="str">
        <f t="shared" si="6"/>
        <v>Kaiju</v>
      </c>
      <c r="E172">
        <f t="shared" si="7"/>
        <v>92.822916859081587</v>
      </c>
    </row>
    <row r="173" spans="1:5" x14ac:dyDescent="0.35">
      <c r="A173">
        <f t="shared" si="8"/>
        <v>172</v>
      </c>
      <c r="B173">
        <f>HunterDPS!K173</f>
        <v>92.389421702062222</v>
      </c>
      <c r="C173">
        <f>KaijuSim!K173</f>
        <v>96.027265415366017</v>
      </c>
      <c r="D173" t="str">
        <f t="shared" si="6"/>
        <v>Hunters</v>
      </c>
      <c r="E173">
        <f t="shared" si="7"/>
        <v>92.389421702062222</v>
      </c>
    </row>
    <row r="174" spans="1:5" x14ac:dyDescent="0.35">
      <c r="A174">
        <f t="shared" si="8"/>
        <v>173</v>
      </c>
      <c r="B174">
        <f>HunterDPS!K174</f>
        <v>79.368605384189991</v>
      </c>
      <c r="C174">
        <f>KaijuSim!K174</f>
        <v>93.917022235881802</v>
      </c>
      <c r="D174" t="str">
        <f t="shared" si="6"/>
        <v>Hunters</v>
      </c>
      <c r="E174">
        <f t="shared" si="7"/>
        <v>79.368605384189991</v>
      </c>
    </row>
    <row r="175" spans="1:5" x14ac:dyDescent="0.35">
      <c r="A175">
        <f t="shared" si="8"/>
        <v>174</v>
      </c>
      <c r="B175">
        <f>HunterDPS!K175</f>
        <v>98.04224499106644</v>
      </c>
      <c r="C175">
        <f>KaijuSim!K175</f>
        <v>91.721909185156491</v>
      </c>
      <c r="D175" t="str">
        <f t="shared" si="6"/>
        <v>Kaiju</v>
      </c>
      <c r="E175">
        <f t="shared" si="7"/>
        <v>91.721909185156491</v>
      </c>
    </row>
    <row r="176" spans="1:5" x14ac:dyDescent="0.35">
      <c r="A176">
        <f t="shared" si="8"/>
        <v>175</v>
      </c>
      <c r="B176">
        <f>HunterDPS!K176</f>
        <v>95.718123441700143</v>
      </c>
      <c r="C176">
        <f>KaijuSim!K176</f>
        <v>93.716544896947767</v>
      </c>
      <c r="D176" t="str">
        <f t="shared" si="6"/>
        <v>Kaiju</v>
      </c>
      <c r="E176">
        <f t="shared" si="7"/>
        <v>93.716544896947767</v>
      </c>
    </row>
    <row r="177" spans="1:5" x14ac:dyDescent="0.35">
      <c r="A177">
        <f t="shared" si="8"/>
        <v>176</v>
      </c>
      <c r="B177">
        <f>HunterDPS!K177</f>
        <v>88.489192692319861</v>
      </c>
      <c r="C177">
        <f>KaijuSim!K177</f>
        <v>94.129782553009363</v>
      </c>
      <c r="D177" t="str">
        <f t="shared" si="6"/>
        <v>Hunters</v>
      </c>
      <c r="E177">
        <f t="shared" si="7"/>
        <v>88.489192692319861</v>
      </c>
    </row>
    <row r="178" spans="1:5" x14ac:dyDescent="0.35">
      <c r="A178">
        <f t="shared" si="8"/>
        <v>177</v>
      </c>
      <c r="B178">
        <f>HunterDPS!K178</f>
        <v>122.36430416558464</v>
      </c>
      <c r="C178">
        <f>KaijuSim!K178</f>
        <v>94.816351684491949</v>
      </c>
      <c r="D178" t="str">
        <f t="shared" si="6"/>
        <v>Kaiju</v>
      </c>
      <c r="E178">
        <f t="shared" si="7"/>
        <v>94.816351684491949</v>
      </c>
    </row>
    <row r="179" spans="1:5" x14ac:dyDescent="0.35">
      <c r="A179">
        <f t="shared" si="8"/>
        <v>178</v>
      </c>
      <c r="B179">
        <f>HunterDPS!K179</f>
        <v>97.28582094662228</v>
      </c>
      <c r="C179">
        <f>KaijuSim!K179</f>
        <v>90.738060319602397</v>
      </c>
      <c r="D179" t="str">
        <f t="shared" si="6"/>
        <v>Kaiju</v>
      </c>
      <c r="E179">
        <f t="shared" si="7"/>
        <v>90.738060319602397</v>
      </c>
    </row>
    <row r="180" spans="1:5" x14ac:dyDescent="0.35">
      <c r="A180">
        <f t="shared" si="8"/>
        <v>179</v>
      </c>
      <c r="B180">
        <f>HunterDPS!K180</f>
        <v>88.305873207471791</v>
      </c>
      <c r="C180">
        <f>KaijuSim!K180</f>
        <v>93.234870398844407</v>
      </c>
      <c r="D180" t="str">
        <f t="shared" si="6"/>
        <v>Hunters</v>
      </c>
      <c r="E180">
        <f t="shared" si="7"/>
        <v>88.305873207471791</v>
      </c>
    </row>
    <row r="181" spans="1:5" x14ac:dyDescent="0.35">
      <c r="A181">
        <f t="shared" si="8"/>
        <v>180</v>
      </c>
      <c r="B181">
        <f>HunterDPS!K181</f>
        <v>95.546830342976165</v>
      </c>
      <c r="C181">
        <f>KaijuSim!K181</f>
        <v>88.134988446254724</v>
      </c>
      <c r="D181" t="str">
        <f t="shared" si="6"/>
        <v>Kaiju</v>
      </c>
      <c r="E181">
        <f t="shared" si="7"/>
        <v>88.134988446254724</v>
      </c>
    </row>
    <row r="182" spans="1:5" x14ac:dyDescent="0.35">
      <c r="A182">
        <f t="shared" si="8"/>
        <v>181</v>
      </c>
      <c r="B182">
        <f>HunterDPS!K182</f>
        <v>114.6468324928607</v>
      </c>
      <c r="C182">
        <f>KaijuSim!K182</f>
        <v>96.990363965424606</v>
      </c>
      <c r="D182" t="str">
        <f t="shared" si="6"/>
        <v>Kaiju</v>
      </c>
      <c r="E182">
        <f t="shared" si="7"/>
        <v>96.990363965424606</v>
      </c>
    </row>
    <row r="183" spans="1:5" x14ac:dyDescent="0.35">
      <c r="A183">
        <f t="shared" si="8"/>
        <v>182</v>
      </c>
      <c r="B183">
        <f>HunterDPS!K183</f>
        <v>115.11065019760937</v>
      </c>
      <c r="C183">
        <f>KaijuSim!K183</f>
        <v>95.141771686527932</v>
      </c>
      <c r="D183" t="str">
        <f t="shared" si="6"/>
        <v>Kaiju</v>
      </c>
      <c r="E183">
        <f t="shared" si="7"/>
        <v>95.141771686527932</v>
      </c>
    </row>
    <row r="184" spans="1:5" x14ac:dyDescent="0.35">
      <c r="A184">
        <f t="shared" si="8"/>
        <v>183</v>
      </c>
      <c r="B184">
        <f>HunterDPS!K184</f>
        <v>110.48413021940526</v>
      </c>
      <c r="C184">
        <f>KaijuSim!K184</f>
        <v>88.77237069417653</v>
      </c>
      <c r="D184" t="str">
        <f t="shared" si="6"/>
        <v>Kaiju</v>
      </c>
      <c r="E184">
        <f t="shared" si="7"/>
        <v>88.77237069417653</v>
      </c>
    </row>
    <row r="185" spans="1:5" x14ac:dyDescent="0.35">
      <c r="A185">
        <f t="shared" si="8"/>
        <v>184</v>
      </c>
      <c r="B185">
        <f>HunterDPS!K185</f>
        <v>113.76816047029524</v>
      </c>
      <c r="C185">
        <f>KaijuSim!K185</f>
        <v>93.350701908984362</v>
      </c>
      <c r="D185" t="str">
        <f t="shared" si="6"/>
        <v>Kaiju</v>
      </c>
      <c r="E185">
        <f t="shared" si="7"/>
        <v>93.350701908984362</v>
      </c>
    </row>
    <row r="186" spans="1:5" x14ac:dyDescent="0.35">
      <c r="A186">
        <f t="shared" si="8"/>
        <v>185</v>
      </c>
      <c r="B186">
        <f>HunterDPS!K186</f>
        <v>104.09042632230356</v>
      </c>
      <c r="C186">
        <f>KaijuSim!K186</f>
        <v>93.578309115547839</v>
      </c>
      <c r="D186" t="str">
        <f t="shared" si="6"/>
        <v>Kaiju</v>
      </c>
      <c r="E186">
        <f t="shared" si="7"/>
        <v>93.578309115547839</v>
      </c>
    </row>
    <row r="187" spans="1:5" x14ac:dyDescent="0.35">
      <c r="A187">
        <f t="shared" si="8"/>
        <v>186</v>
      </c>
      <c r="B187">
        <f>HunterDPS!K187</f>
        <v>90.861509400359836</v>
      </c>
      <c r="C187">
        <f>KaijuSim!K187</f>
        <v>93.329912295557975</v>
      </c>
      <c r="D187" t="str">
        <f t="shared" si="6"/>
        <v>Hunters</v>
      </c>
      <c r="E187">
        <f t="shared" si="7"/>
        <v>90.861509400359836</v>
      </c>
    </row>
    <row r="188" spans="1:5" x14ac:dyDescent="0.35">
      <c r="A188">
        <f t="shared" si="8"/>
        <v>187</v>
      </c>
      <c r="B188">
        <f>HunterDPS!K188</f>
        <v>100.48751244949004</v>
      </c>
      <c r="C188">
        <f>KaijuSim!K188</f>
        <v>93.059709115980937</v>
      </c>
      <c r="D188" t="str">
        <f t="shared" si="6"/>
        <v>Kaiju</v>
      </c>
      <c r="E188">
        <f t="shared" si="7"/>
        <v>93.059709115980937</v>
      </c>
    </row>
    <row r="189" spans="1:5" x14ac:dyDescent="0.35">
      <c r="A189">
        <f t="shared" si="8"/>
        <v>188</v>
      </c>
      <c r="B189">
        <f>HunterDPS!K189</f>
        <v>109.4049030840486</v>
      </c>
      <c r="C189">
        <f>KaijuSim!K189</f>
        <v>93.47217272292886</v>
      </c>
      <c r="D189" t="str">
        <f t="shared" si="6"/>
        <v>Kaiju</v>
      </c>
      <c r="E189">
        <f t="shared" si="7"/>
        <v>93.47217272292886</v>
      </c>
    </row>
    <row r="190" spans="1:5" x14ac:dyDescent="0.35">
      <c r="A190">
        <f t="shared" si="8"/>
        <v>189</v>
      </c>
      <c r="B190">
        <f>HunterDPS!K190</f>
        <v>96.200271008079469</v>
      </c>
      <c r="C190">
        <f>KaijuSim!K190</f>
        <v>90.406770082509937</v>
      </c>
      <c r="D190" t="str">
        <f t="shared" si="6"/>
        <v>Kaiju</v>
      </c>
      <c r="E190">
        <f t="shared" si="7"/>
        <v>90.406770082509937</v>
      </c>
    </row>
    <row r="191" spans="1:5" x14ac:dyDescent="0.35">
      <c r="A191">
        <f t="shared" si="8"/>
        <v>190</v>
      </c>
      <c r="B191">
        <f>HunterDPS!K191</f>
        <v>100.89730075201234</v>
      </c>
      <c r="C191">
        <f>KaijuSim!K191</f>
        <v>92.255306431384</v>
      </c>
      <c r="D191" t="str">
        <f t="shared" si="6"/>
        <v>Kaiju</v>
      </c>
      <c r="E191">
        <f t="shared" si="7"/>
        <v>92.255306431384</v>
      </c>
    </row>
    <row r="192" spans="1:5" x14ac:dyDescent="0.35">
      <c r="A192">
        <f t="shared" si="8"/>
        <v>191</v>
      </c>
      <c r="B192">
        <f>HunterDPS!K192</f>
        <v>104.68178514291095</v>
      </c>
      <c r="C192">
        <f>KaijuSim!K192</f>
        <v>92.090566402221697</v>
      </c>
      <c r="D192" t="str">
        <f t="shared" si="6"/>
        <v>Kaiju</v>
      </c>
      <c r="E192">
        <f t="shared" si="7"/>
        <v>92.090566402221697</v>
      </c>
    </row>
    <row r="193" spans="1:5" x14ac:dyDescent="0.35">
      <c r="A193">
        <f t="shared" si="8"/>
        <v>192</v>
      </c>
      <c r="B193">
        <f>HunterDPS!K193</f>
        <v>87.732112071968771</v>
      </c>
      <c r="C193">
        <f>KaijuSim!K193</f>
        <v>90.147603191246134</v>
      </c>
      <c r="D193" t="str">
        <f t="shared" si="6"/>
        <v>Hunters</v>
      </c>
      <c r="E193">
        <f t="shared" si="7"/>
        <v>87.732112071968771</v>
      </c>
    </row>
    <row r="194" spans="1:5" x14ac:dyDescent="0.35">
      <c r="A194">
        <f t="shared" si="8"/>
        <v>193</v>
      </c>
      <c r="B194">
        <f>HunterDPS!K194</f>
        <v>94.375084809101111</v>
      </c>
      <c r="C194">
        <f>KaijuSim!K194</f>
        <v>95.224484342325979</v>
      </c>
      <c r="D194" t="str">
        <f t="shared" si="6"/>
        <v>Hunters</v>
      </c>
      <c r="E194">
        <f t="shared" si="7"/>
        <v>94.375084809101111</v>
      </c>
    </row>
    <row r="195" spans="1:5" x14ac:dyDescent="0.35">
      <c r="A195">
        <f t="shared" si="8"/>
        <v>194</v>
      </c>
      <c r="B195">
        <f>HunterDPS!K195</f>
        <v>111.40923889593688</v>
      </c>
      <c r="C195">
        <f>KaijuSim!K195</f>
        <v>88.443125160621861</v>
      </c>
      <c r="D195" t="str">
        <f t="shared" ref="D195:D201" si="9">IF(B195 &lt; C195, "Hunters", "Kaiju")</f>
        <v>Kaiju</v>
      </c>
      <c r="E195">
        <f t="shared" ref="E195:E201" si="10">MIN(B195, C195)</f>
        <v>88.443125160621861</v>
      </c>
    </row>
    <row r="196" spans="1:5" x14ac:dyDescent="0.35">
      <c r="A196">
        <f t="shared" ref="A196:A200" si="11">A195+1</f>
        <v>195</v>
      </c>
      <c r="B196">
        <f>HunterDPS!K196</f>
        <v>94.172045158923694</v>
      </c>
      <c r="C196">
        <f>KaijuSim!K196</f>
        <v>95.97769430636329</v>
      </c>
      <c r="D196" t="str">
        <f t="shared" si="9"/>
        <v>Hunters</v>
      </c>
      <c r="E196">
        <f t="shared" si="10"/>
        <v>94.172045158923694</v>
      </c>
    </row>
    <row r="197" spans="1:5" x14ac:dyDescent="0.35">
      <c r="A197">
        <f t="shared" si="11"/>
        <v>196</v>
      </c>
      <c r="B197">
        <f>HunterDPS!K197</f>
        <v>108.96466854357112</v>
      </c>
      <c r="C197">
        <f>KaijuSim!K197</f>
        <v>90.805292244603621</v>
      </c>
      <c r="D197" t="str">
        <f t="shared" si="9"/>
        <v>Kaiju</v>
      </c>
      <c r="E197">
        <f t="shared" si="10"/>
        <v>90.805292244603621</v>
      </c>
    </row>
    <row r="198" spans="1:5" x14ac:dyDescent="0.35">
      <c r="A198">
        <f t="shared" si="11"/>
        <v>197</v>
      </c>
      <c r="B198">
        <f>HunterDPS!K198</f>
        <v>88.103538816515282</v>
      </c>
      <c r="C198">
        <f>KaijuSim!K198</f>
        <v>89.03987050310694</v>
      </c>
      <c r="D198" t="str">
        <f t="shared" si="9"/>
        <v>Hunters</v>
      </c>
      <c r="E198">
        <f t="shared" si="10"/>
        <v>88.103538816515282</v>
      </c>
    </row>
    <row r="199" spans="1:5" x14ac:dyDescent="0.35">
      <c r="A199">
        <f t="shared" si="11"/>
        <v>198</v>
      </c>
      <c r="B199">
        <f>HunterDPS!K199</f>
        <v>107.43572833821524</v>
      </c>
      <c r="C199">
        <f>KaijuSim!K199</f>
        <v>96.880012595375476</v>
      </c>
      <c r="D199" t="str">
        <f t="shared" si="9"/>
        <v>Kaiju</v>
      </c>
      <c r="E199">
        <f t="shared" si="10"/>
        <v>96.880012595375476</v>
      </c>
    </row>
    <row r="200" spans="1:5" x14ac:dyDescent="0.35">
      <c r="A200">
        <f>A199+1</f>
        <v>199</v>
      </c>
      <c r="B200">
        <f>HunterDPS!K200</f>
        <v>104.38612108641601</v>
      </c>
      <c r="C200">
        <f>KaijuSim!K200</f>
        <v>88.43700557957861</v>
      </c>
      <c r="D200" t="str">
        <f t="shared" si="9"/>
        <v>Kaiju</v>
      </c>
      <c r="E200">
        <f t="shared" si="10"/>
        <v>88.43700557957861</v>
      </c>
    </row>
    <row r="201" spans="1:5" x14ac:dyDescent="0.35">
      <c r="A201">
        <f>A200+1</f>
        <v>200</v>
      </c>
      <c r="B201">
        <f>HunterDPS!K201</f>
        <v>97.063206150946613</v>
      </c>
      <c r="C201">
        <f>KaijuSim!K201</f>
        <v>90.933461854409614</v>
      </c>
      <c r="D201" t="str">
        <f t="shared" si="9"/>
        <v>Kaiju</v>
      </c>
      <c r="E201">
        <f t="shared" si="10"/>
        <v>90.933461854409614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HunterDPS</vt:lpstr>
      <vt:lpstr>KaijuSim</vt:lpstr>
      <vt:lpstr>MatchResults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Cabrera, Michael Anthony</dc:creator>
  <cp:lastModifiedBy>Cabrera, Michael Anthony</cp:lastModifiedBy>
  <dcterms:created xsi:type="dcterms:W3CDTF">2026-03-26T19:38:20Z</dcterms:created>
  <dcterms:modified xsi:type="dcterms:W3CDTF">2026-04-02T15:34:15Z</dcterms:modified>
</cp:coreProperties>
</file>
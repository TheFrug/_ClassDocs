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s\_ClassDocs\_ClassDocs_Spring2026\Kaiju Clash\"/>
    </mc:Choice>
  </mc:AlternateContent>
  <xr:revisionPtr revIDLastSave="0" documentId="8_{2981EEBA-833B-4735-B1EA-68CAB9BEC387}" xr6:coauthVersionLast="47" xr6:coauthVersionMax="47" xr10:uidLastSave="{00000000-0000-0000-0000-000000000000}"/>
  <bookViews>
    <workbookView xWindow="13200" yWindow="0" windowWidth="12490" windowHeight="16090" xr2:uid="{280F9E53-3EC3-488B-8F2B-E95A85DA6E5C}"/>
  </bookViews>
  <sheets>
    <sheet name="HunterDPS" sheetId="1" r:id="rId1"/>
    <sheet name="KaijuSim" sheetId="2" r:id="rId2"/>
    <sheet name="Match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A10" i="2"/>
  <c r="C10" i="2" s="1"/>
  <c r="D10" i="2"/>
  <c r="H2" i="2"/>
  <c r="B2" i="3"/>
  <c r="B32" i="1"/>
  <c r="D32" i="1" s="1"/>
  <c r="B25" i="1"/>
  <c r="D25" i="1" s="1"/>
  <c r="B31" i="1"/>
  <c r="D31" i="1" s="1"/>
  <c r="B30" i="1"/>
  <c r="C30" i="1" s="1"/>
  <c r="B29" i="1"/>
  <c r="C29" i="1" s="1"/>
  <c r="B28" i="1"/>
  <c r="D28" i="1" s="1"/>
  <c r="B27" i="1"/>
  <c r="C27" i="1" s="1"/>
  <c r="B26" i="1"/>
  <c r="C26" i="1" s="1"/>
  <c r="B24" i="1"/>
  <c r="D24" i="1" s="1"/>
  <c r="B23" i="1"/>
  <c r="D23" i="1" s="1"/>
  <c r="B22" i="1"/>
  <c r="D22" i="1" s="1"/>
  <c r="B21" i="1"/>
  <c r="D21" i="1" s="1"/>
  <c r="B20" i="1"/>
  <c r="D20" i="1" s="1"/>
  <c r="B19" i="1"/>
  <c r="D19" i="1" s="1"/>
  <c r="B18" i="1"/>
  <c r="D18" i="1" s="1"/>
  <c r="B17" i="1"/>
  <c r="D17" i="1" s="1"/>
  <c r="B16" i="1"/>
  <c r="D16" i="1" s="1"/>
  <c r="B15" i="1"/>
  <c r="D15" i="1" s="1"/>
  <c r="B14" i="1"/>
  <c r="D14" i="1" s="1"/>
  <c r="B13" i="1"/>
  <c r="D13" i="1" s="1"/>
  <c r="B12" i="1"/>
  <c r="D12" i="1" s="1"/>
  <c r="B11" i="1"/>
  <c r="D11" i="1" s="1"/>
  <c r="B10" i="1"/>
  <c r="D10" i="1" s="1"/>
  <c r="B9" i="1"/>
  <c r="C9" i="1" s="1"/>
  <c r="H60" i="1"/>
  <c r="H61" i="1"/>
  <c r="H62" i="1"/>
  <c r="H63" i="1"/>
  <c r="H64" i="1"/>
  <c r="H65" i="1"/>
  <c r="H66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8" i="1"/>
  <c r="H3" i="1"/>
  <c r="H4" i="1"/>
  <c r="H5" i="1"/>
  <c r="H6" i="1"/>
  <c r="H7" i="1"/>
  <c r="H2" i="1"/>
  <c r="B8" i="1" s="1"/>
  <c r="C8" i="1" s="1"/>
  <c r="E2" i="1"/>
  <c r="F10" i="2" l="1"/>
  <c r="B10" i="2"/>
  <c r="E10" i="2" s="1"/>
  <c r="G10" i="2" s="1"/>
  <c r="G2" i="2" a="1"/>
  <c r="G2" i="2" s="1"/>
  <c r="D30" i="1"/>
  <c r="C31" i="1"/>
  <c r="D27" i="1"/>
  <c r="D29" i="1"/>
  <c r="C32" i="1"/>
  <c r="D26" i="1"/>
  <c r="C25" i="1"/>
  <c r="C28" i="1"/>
  <c r="C21" i="1"/>
  <c r="C22" i="1"/>
  <c r="C23" i="1"/>
  <c r="C24" i="1"/>
  <c r="C15" i="1"/>
  <c r="C20" i="1"/>
  <c r="C17" i="1"/>
  <c r="C18" i="1"/>
  <c r="C19" i="1"/>
  <c r="C14" i="1"/>
  <c r="C13" i="1"/>
  <c r="C16" i="1"/>
  <c r="C12" i="1"/>
  <c r="D9" i="1"/>
  <c r="C10" i="1"/>
  <c r="C11" i="1"/>
  <c r="B5" i="1"/>
  <c r="D5" i="1" s="1"/>
  <c r="B6" i="1"/>
  <c r="D6" i="1" s="1"/>
  <c r="B7" i="1"/>
  <c r="D7" i="1" s="1"/>
  <c r="D8" i="1"/>
  <c r="E29" i="1" l="1"/>
  <c r="F29" i="1" s="1"/>
  <c r="E25" i="1"/>
  <c r="F25" i="1" s="1"/>
  <c r="E21" i="1"/>
  <c r="F21" i="1" s="1"/>
  <c r="E17" i="1"/>
  <c r="F17" i="1" s="1"/>
  <c r="E9" i="1"/>
  <c r="F9" i="1" s="1"/>
  <c r="E13" i="1"/>
  <c r="F13" i="1" s="1"/>
  <c r="C7" i="1"/>
  <c r="C5" i="1"/>
  <c r="C6" i="1"/>
  <c r="E5" i="1" l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<sst xmlns="http://schemas.openxmlformats.org/spreadsheetml/2006/main" count="41" uniqueCount="38">
  <si>
    <t>Hunter #</t>
  </si>
  <si>
    <t>Clip Size</t>
  </si>
  <si>
    <t>Attack Interval</t>
  </si>
  <si>
    <t>Reload Time</t>
  </si>
  <si>
    <t>Damage per Round</t>
  </si>
  <si>
    <t>Mechanical DPS</t>
  </si>
  <si>
    <t>Skill Factor</t>
  </si>
  <si>
    <t>Effective DPS</t>
  </si>
  <si>
    <t>Kaiju Health</t>
  </si>
  <si>
    <t>Time to Kill</t>
  </si>
  <si>
    <t>Seed</t>
  </si>
  <si>
    <t>Team Effective DPS</t>
  </si>
  <si>
    <t>Team Time To Kill</t>
  </si>
  <si>
    <t>Run #</t>
  </si>
  <si>
    <t>Kaiju Time</t>
  </si>
  <si>
    <t>Hunter Time</t>
  </si>
  <si>
    <t>Result</t>
  </si>
  <si>
    <t>Win Rate</t>
  </si>
  <si>
    <t>Kaiju DPS</t>
  </si>
  <si>
    <t>Base Efficiency</t>
  </si>
  <si>
    <t>Doom Target</t>
  </si>
  <si>
    <t>Efficiency Variance</t>
  </si>
  <si>
    <t>Kaiju Win Time</t>
  </si>
  <si>
    <t>Time To Win</t>
  </si>
  <si>
    <t>Type</t>
  </si>
  <si>
    <t>Spawn %</t>
  </si>
  <si>
    <t>Health</t>
  </si>
  <si>
    <t>Doom</t>
  </si>
  <si>
    <t>Small</t>
  </si>
  <si>
    <t>Medium</t>
  </si>
  <si>
    <t>Large</t>
  </si>
  <si>
    <t>Building Stuff</t>
  </si>
  <si>
    <t>Building Type</t>
  </si>
  <si>
    <t>Doom Gain</t>
  </si>
  <si>
    <t>Efficiency</t>
  </si>
  <si>
    <t>Time to Destroy</t>
  </si>
  <si>
    <t>Total Doom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</si>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</sst>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E84A-1B08-4500-928C-CFA97A89271A}">
  <dimension ref="A1:H66"/>
  <sheetViews>
    <sheetView tabSelected="1" workbookViewId="0">
      <selection activeCell="A3" sqref="A3"/>
    </sheetView>
  </sheetViews>
  <sheetFormatPr defaultRowHeight="14.5" x14ac:dyDescent="0.35"/>
  <cols>
    <col min="3" max="3" width="12.453125" customWidth="1"/>
    <col min="5" max="5" width="16.453125" customWidth="1"/>
    <col min="6" max="6" width="15.26953125" customWidth="1"/>
    <col min="7" max="7" width="10.453125" customWidth="1"/>
  </cols>
  <sheetData>
    <row r="1" spans="1: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8</v>
      </c>
      <c r="H1" t="s">
        <v>10</v>
      </c>
    </row>
    <row r="2" spans="1:8" x14ac:dyDescent="0.35">
      <c r="A2">
        <v>2</v>
      </c>
      <c r="B2">
        <v>0.8</v>
      </c>
      <c r="C2">
        <v>1.8</v>
      </c>
      <c r="D2">
        <v>100</v>
      </c>
      <c r="E2">
        <f xml:space="preserve"> (D2 * A2 / B2) * (A2 / (A2+ C2 / B2))</f>
        <v>117.64705882352941</v>
      </c>
      <c r="G2">
        <v>10000</v>
      </c>
      <c r="H2">
        <f>ROW()-1</f>
        <v>1</v>
      </c>
    </row>
    <row r="3" spans="1:8" x14ac:dyDescent="0.35">
      <c r="H3">
        <f t="shared" ref="H3:H7" si="0">ROW()-1</f>
        <v>2</v>
      </c>
    </row>
    <row r="4" spans="1:8" x14ac:dyDescent="0.35">
      <c r="A4" t="s">
        <v>0</v>
      </c>
      <c r="B4" t="s">
        <v>6</v>
      </c>
      <c r="C4" t="s">
        <v>7</v>
      </c>
      <c r="D4" t="s">
        <v>9</v>
      </c>
      <c r="E4" t="s">
        <v>11</v>
      </c>
      <c r="F4" t="s">
        <v>12</v>
      </c>
      <c r="G4" t="s">
        <v>13</v>
      </c>
      <c r="H4">
        <f t="shared" si="0"/>
        <v>3</v>
      </c>
    </row>
    <row r="5" spans="1:8" x14ac:dyDescent="0.35">
      <c r="A5">
        <v>1</v>
      </c>
      <c r="B5">
        <f ca="1">0.7 + ((RAND() + $H2/10000) - 0.5) * 2 * 0.3</f>
        <v>0.87692435128172208</v>
      </c>
      <c r="C5">
        <f ca="1">$E$2 * B5</f>
        <v>103.16757073902612</v>
      </c>
      <c r="D5">
        <f ca="1" xml:space="preserve"> $G$2 /B5</f>
        <v>11403.492200192517</v>
      </c>
      <c r="E5">
        <f ca="1">SUM(C5:C8)</f>
        <v>419.21641734448144</v>
      </c>
      <c r="F5">
        <f ca="1">$G$2/E5</f>
        <v>23.854027624549662</v>
      </c>
      <c r="H5">
        <f t="shared" si="0"/>
        <v>4</v>
      </c>
    </row>
    <row r="6" spans="1:8" x14ac:dyDescent="0.35">
      <c r="A6">
        <v>2</v>
      </c>
      <c r="B6">
        <f ca="1">0.7 + ((RAND() + $H2/10000) - 0.5) * 2 * 0.3</f>
        <v>0.75422635848074437</v>
      </c>
      <c r="C6">
        <f ca="1">$E$2 * B6</f>
        <v>88.732512762440507</v>
      </c>
      <c r="D6">
        <f ca="1" xml:space="preserve"> $G$2 /B6</f>
        <v>13258.619096982015</v>
      </c>
      <c r="H6">
        <f t="shared" si="0"/>
        <v>5</v>
      </c>
    </row>
    <row r="7" spans="1:8" x14ac:dyDescent="0.35">
      <c r="A7">
        <v>3</v>
      </c>
      <c r="B7">
        <f ca="1">0.7 + ((RAND() + $H2/10000) - 0.5) * 2 * 0.3</f>
        <v>0.96742298786412007</v>
      </c>
      <c r="C7">
        <f ca="1">$E$2 * B7</f>
        <v>113.81446916048471</v>
      </c>
      <c r="D7">
        <f ca="1" xml:space="preserve"> $G$2 /B7</f>
        <v>10336.74010794186</v>
      </c>
      <c r="H7">
        <f t="shared" si="0"/>
        <v>6</v>
      </c>
    </row>
    <row r="8" spans="1:8" x14ac:dyDescent="0.35">
      <c r="A8">
        <v>4</v>
      </c>
      <c r="B8">
        <f ca="1">0.7 + ((RAND() + $H2/10000) - 0.5) * 2 * 0.3</f>
        <v>0.96476584980150648</v>
      </c>
      <c r="C8">
        <f ca="1">$E$2 * B8</f>
        <v>113.50186468253017</v>
      </c>
      <c r="D8">
        <f ca="1" xml:space="preserve"> $G$2 /B8</f>
        <v>10365.209342823886</v>
      </c>
      <c r="H8">
        <f>ROW()-1</f>
        <v>7</v>
      </c>
    </row>
    <row r="9" spans="1:8" x14ac:dyDescent="0.35">
      <c r="A9">
        <v>1</v>
      </c>
      <c r="B9">
        <f ca="1">0.7 + ((RAND() + $H6/10000) - 0.5) * 2 * 0.3</f>
        <v>0.53609026942088067</v>
      </c>
      <c r="C9">
        <f ca="1">$E$2 * B9</f>
        <v>63.069443461280073</v>
      </c>
      <c r="D9">
        <f ca="1" xml:space="preserve"> $G$2 /B9</f>
        <v>18653.574911558542</v>
      </c>
      <c r="E9">
        <f ca="1">SUM(C9:C12)</f>
        <v>329.66145480842323</v>
      </c>
      <c r="F9">
        <f ca="1">$G$2/E9</f>
        <v>30.334149941221725</v>
      </c>
      <c r="H9">
        <f t="shared" ref="H9:H66" si="1">ROW()-1</f>
        <v>8</v>
      </c>
    </row>
    <row r="10" spans="1:8" x14ac:dyDescent="0.35">
      <c r="A10">
        <v>2</v>
      </c>
      <c r="B10">
        <f ca="1">0.7 + ((RAND() + $H6/10000) - 0.5) * 2 * 0.3</f>
        <v>0.88488234208061789</v>
      </c>
      <c r="C10">
        <f ca="1">$E$2 * B10</f>
        <v>104.10380495066093</v>
      </c>
      <c r="D10">
        <f ca="1" xml:space="preserve"> $G$2 /B10</f>
        <v>11300.937451737445</v>
      </c>
      <c r="H10">
        <f t="shared" si="1"/>
        <v>9</v>
      </c>
    </row>
    <row r="11" spans="1:8" x14ac:dyDescent="0.35">
      <c r="A11">
        <v>3</v>
      </c>
      <c r="B11">
        <f ca="1">0.7 + ((RAND() + $H6/10000) - 0.5) * 2 * 0.3</f>
        <v>0.94642515243257364</v>
      </c>
      <c r="C11">
        <f ca="1">$E$2 * B11</f>
        <v>111.34413558030278</v>
      </c>
      <c r="D11">
        <f ca="1" xml:space="preserve"> $G$2 /B11</f>
        <v>10566.075906052625</v>
      </c>
      <c r="H11">
        <f t="shared" si="1"/>
        <v>10</v>
      </c>
    </row>
    <row r="12" spans="1:8" x14ac:dyDescent="0.35">
      <c r="A12">
        <v>4</v>
      </c>
      <c r="B12">
        <f ca="1">0.7 + ((RAND() + $H6/10000) - 0.5) * 2 * 0.3</f>
        <v>0.4347246019375251</v>
      </c>
      <c r="C12">
        <f ca="1">$E$2 * B12</f>
        <v>51.144070816179422</v>
      </c>
      <c r="D12">
        <f ca="1" xml:space="preserve"> $G$2 /B12</f>
        <v>23003.068966952818</v>
      </c>
      <c r="H12">
        <f t="shared" si="1"/>
        <v>11</v>
      </c>
    </row>
    <row r="13" spans="1:8" x14ac:dyDescent="0.35">
      <c r="A13">
        <v>1</v>
      </c>
      <c r="B13">
        <f ca="1">0.7 + ((RAND() + $H10/10000) - 0.5) * 2 * 0.3</f>
        <v>0.57342926373178482</v>
      </c>
      <c r="C13">
        <f ca="1">$E$2 * B13</f>
        <v>67.462266321386451</v>
      </c>
      <c r="D13">
        <f ca="1" xml:space="preserve"> $G$2 /B13</f>
        <v>17438.942573180899</v>
      </c>
      <c r="E13">
        <f ca="1">SUM(C13:C16)</f>
        <v>324.68631065466548</v>
      </c>
      <c r="F13">
        <f ca="1">$G$2/E13</f>
        <v>30.79895786131847</v>
      </c>
      <c r="H13">
        <f t="shared" si="1"/>
        <v>12</v>
      </c>
    </row>
    <row r="14" spans="1:8" x14ac:dyDescent="0.35">
      <c r="A14">
        <v>2</v>
      </c>
      <c r="B14">
        <f ca="1">0.7 + ((RAND() + $H10/10000) - 0.5) * 2 * 0.3</f>
        <v>0.76586592381402785</v>
      </c>
      <c r="C14">
        <f ca="1">$E$2 * B14</f>
        <v>90.101873389885625</v>
      </c>
      <c r="D14">
        <f ca="1" xml:space="preserve"> $G$2 /B14</f>
        <v>13057.11572882078</v>
      </c>
      <c r="H14">
        <f t="shared" si="1"/>
        <v>13</v>
      </c>
    </row>
    <row r="15" spans="1:8" x14ac:dyDescent="0.35">
      <c r="A15">
        <v>3</v>
      </c>
      <c r="B15">
        <f ca="1">0.7 + ((RAND() + $H10/10000) - 0.5) * 2 * 0.3</f>
        <v>0.93510717378383945</v>
      </c>
      <c r="C15">
        <f ca="1">$E$2 * B15</f>
        <v>110.01260868045169</v>
      </c>
      <c r="D15">
        <f ca="1" xml:space="preserve"> $G$2 /B15</f>
        <v>10693.961377213873</v>
      </c>
      <c r="H15">
        <f t="shared" si="1"/>
        <v>14</v>
      </c>
    </row>
    <row r="16" spans="1:8" x14ac:dyDescent="0.35">
      <c r="A16">
        <v>4</v>
      </c>
      <c r="B16">
        <f ca="1">0.7 + ((RAND() + $H10/10000) - 0.5) * 2 * 0.3</f>
        <v>0.48543127923500484</v>
      </c>
      <c r="C16">
        <f ca="1">$E$2 * B16</f>
        <v>57.109562262941743</v>
      </c>
      <c r="D16">
        <f ca="1" xml:space="preserve"> $G$2 /B16</f>
        <v>20600.238237138492</v>
      </c>
      <c r="H16">
        <f t="shared" si="1"/>
        <v>15</v>
      </c>
    </row>
    <row r="17" spans="1:8" x14ac:dyDescent="0.35">
      <c r="A17">
        <v>1</v>
      </c>
      <c r="B17">
        <f ca="1">0.7 + ((RAND() + $H14/10000) - 0.5) * 2 * 0.3</f>
        <v>0.87054269133155404</v>
      </c>
      <c r="C17">
        <f ca="1">$E$2 * B17</f>
        <v>102.41678721547694</v>
      </c>
      <c r="D17">
        <f ca="1" xml:space="preserve"> $G$2 /B17</f>
        <v>11487.087422104851</v>
      </c>
      <c r="E17">
        <f ca="1">SUM(C17:C20)</f>
        <v>364.69110944610685</v>
      </c>
      <c r="F17">
        <f ca="1">$G$2/E17</f>
        <v>27.420465541888333</v>
      </c>
      <c r="H17">
        <f t="shared" si="1"/>
        <v>16</v>
      </c>
    </row>
    <row r="18" spans="1:8" x14ac:dyDescent="0.35">
      <c r="A18">
        <v>2</v>
      </c>
      <c r="B18">
        <f ca="1">0.7 + ((RAND() + $H14/10000) - 0.5) * 2 * 0.3</f>
        <v>0.75832342287465493</v>
      </c>
      <c r="C18">
        <f ca="1">$E$2 * B18</f>
        <v>89.214520338194689</v>
      </c>
      <c r="D18">
        <f ca="1" xml:space="preserve"> $G$2 /B18</f>
        <v>13186.985524055115</v>
      </c>
      <c r="H18">
        <f t="shared" si="1"/>
        <v>17</v>
      </c>
    </row>
    <row r="19" spans="1:8" x14ac:dyDescent="0.35">
      <c r="A19">
        <v>3</v>
      </c>
      <c r="B19">
        <f ca="1">0.7 + ((RAND() + $H14/10000) - 0.5) * 2 * 0.3</f>
        <v>0.77874245998050828</v>
      </c>
      <c r="C19">
        <f ca="1">$E$2 * B19</f>
        <v>91.616759997706851</v>
      </c>
      <c r="D19">
        <f ca="1" xml:space="preserve"> $G$2 /B19</f>
        <v>12841.215824099661</v>
      </c>
      <c r="H19">
        <f t="shared" si="1"/>
        <v>18</v>
      </c>
    </row>
    <row r="20" spans="1:8" x14ac:dyDescent="0.35">
      <c r="A20">
        <v>4</v>
      </c>
      <c r="B20">
        <f ca="1">0.7 + ((RAND() + $H14/10000) - 0.5) * 2 * 0.3</f>
        <v>0.69226585610519131</v>
      </c>
      <c r="C20">
        <f ca="1">$E$2 * B20</f>
        <v>81.443041894728381</v>
      </c>
      <c r="D20">
        <f ca="1" xml:space="preserve"> $G$2 /B20</f>
        <v>14445.317375988681</v>
      </c>
      <c r="H20">
        <f t="shared" si="1"/>
        <v>19</v>
      </c>
    </row>
    <row r="21" spans="1:8" x14ac:dyDescent="0.35">
      <c r="A21">
        <v>1</v>
      </c>
      <c r="B21">
        <f ca="1">0.7 + ((RAND() + $H18/10000) - 0.5) * 2 * 0.3</f>
        <v>0.91352131719264085</v>
      </c>
      <c r="C21">
        <f ca="1">$E$2 * B21</f>
        <v>107.47309614031069</v>
      </c>
      <c r="D21">
        <f ca="1" xml:space="preserve"> $G$2 /B21</f>
        <v>10946.652050475608</v>
      </c>
      <c r="E21">
        <f ca="1">SUM(C21:C24)</f>
        <v>390.22095556120132</v>
      </c>
      <c r="F21">
        <f ca="1">$G$2/E21</f>
        <v>25.626506873825807</v>
      </c>
      <c r="H21">
        <f t="shared" si="1"/>
        <v>20</v>
      </c>
    </row>
    <row r="22" spans="1:8" x14ac:dyDescent="0.35">
      <c r="A22">
        <v>2</v>
      </c>
      <c r="B22">
        <f ca="1">0.7 + ((RAND() + $H18/10000) - 0.5) * 2 * 0.3</f>
        <v>0.96795574302653353</v>
      </c>
      <c r="C22">
        <f ca="1">$E$2 * B22</f>
        <v>113.8771462384157</v>
      </c>
      <c r="D22">
        <f ca="1" xml:space="preserve"> $G$2 /B22</f>
        <v>10331.050848185196</v>
      </c>
      <c r="H22">
        <f t="shared" si="1"/>
        <v>21</v>
      </c>
    </row>
    <row r="23" spans="1:8" x14ac:dyDescent="0.35">
      <c r="A23">
        <v>3</v>
      </c>
      <c r="B23">
        <f ca="1">0.7 + ((RAND() + $H18/10000) - 0.5) * 2 * 0.3</f>
        <v>0.60859583543268092</v>
      </c>
      <c r="C23">
        <f ca="1">$E$2 * B23</f>
        <v>71.599510050903632</v>
      </c>
      <c r="D23">
        <f ca="1" xml:space="preserve"> $G$2 /B23</f>
        <v>16431.265903899104</v>
      </c>
      <c r="H23">
        <f t="shared" si="1"/>
        <v>22</v>
      </c>
    </row>
    <row r="24" spans="1:8" x14ac:dyDescent="0.35">
      <c r="A24">
        <v>4</v>
      </c>
      <c r="B24">
        <f ca="1">0.7 + ((RAND() + $H18/10000) - 0.5) * 2 * 0.3</f>
        <v>0.82680522661835587</v>
      </c>
      <c r="C24">
        <f ca="1">$E$2 * B24</f>
        <v>97.271203131571269</v>
      </c>
      <c r="D24">
        <f ca="1" xml:space="preserve"> $G$2 /B24</f>
        <v>12094.746958603697</v>
      </c>
      <c r="H24">
        <f t="shared" si="1"/>
        <v>23</v>
      </c>
    </row>
    <row r="25" spans="1:8" x14ac:dyDescent="0.35">
      <c r="A25">
        <v>1</v>
      </c>
      <c r="B25">
        <f ca="1">0.7 + ((RAND() + $H22/10000) - 0.5) * 2 * 0.3</f>
        <v>0.4171300364112972</v>
      </c>
      <c r="C25">
        <f ca="1">$E$2 * B25</f>
        <v>49.074121930740844</v>
      </c>
      <c r="D25">
        <f ca="1" xml:space="preserve"> $G$2 /B25</f>
        <v>23973.339551457841</v>
      </c>
      <c r="E25">
        <f ca="1">SUM(C25:C28)</f>
        <v>257.43169230284553</v>
      </c>
      <c r="F25">
        <f ca="1">$G$2/E25</f>
        <v>38.845256038778196</v>
      </c>
      <c r="H25">
        <f t="shared" si="1"/>
        <v>24</v>
      </c>
    </row>
    <row r="26" spans="1:8" x14ac:dyDescent="0.35">
      <c r="A26">
        <v>2</v>
      </c>
      <c r="B26">
        <f ca="1">0.7 + ((RAND() + $H22/10000) - 0.5) * 2 * 0.3</f>
        <v>0.7778165918053801</v>
      </c>
      <c r="C26">
        <f ca="1">$E$2 * B26</f>
        <v>91.507834330044716</v>
      </c>
      <c r="D26">
        <f ca="1" xml:space="preserve"> $G$2 /B26</f>
        <v>12856.501269520528</v>
      </c>
      <c r="H26">
        <f t="shared" si="1"/>
        <v>25</v>
      </c>
    </row>
    <row r="27" spans="1:8" x14ac:dyDescent="0.35">
      <c r="A27">
        <v>3</v>
      </c>
      <c r="B27">
        <f ca="1">0.7 + ((RAND() + $H22/10000) - 0.5) * 2 * 0.3</f>
        <v>0.49157435025616003</v>
      </c>
      <c r="C27">
        <f ca="1">$E$2 * B27</f>
        <v>57.83227650072471</v>
      </c>
      <c r="D27">
        <f ca="1" xml:space="preserve"> $G$2 /B27</f>
        <v>20342.802660043159</v>
      </c>
      <c r="H27">
        <f t="shared" si="1"/>
        <v>26</v>
      </c>
    </row>
    <row r="28" spans="1:8" x14ac:dyDescent="0.35">
      <c r="A28">
        <v>4</v>
      </c>
      <c r="B28">
        <f ca="1">0.7 + ((RAND() + $H22/10000) - 0.5) * 2 * 0.3</f>
        <v>0.50164840610134998</v>
      </c>
      <c r="C28">
        <f ca="1">$E$2 * B28</f>
        <v>59.017459541335285</v>
      </c>
      <c r="D28">
        <f ca="1" xml:space="preserve"> $G$2 /B28</f>
        <v>19934.280421055821</v>
      </c>
      <c r="H28">
        <f t="shared" si="1"/>
        <v>27</v>
      </c>
    </row>
    <row r="29" spans="1:8" x14ac:dyDescent="0.35">
      <c r="A29">
        <v>1</v>
      </c>
      <c r="B29">
        <f ca="1">0.7 + ((RAND() + $H26/10000) - 0.5) * 2 * 0.3</f>
        <v>0.55979107738399958</v>
      </c>
      <c r="C29">
        <f ca="1">$E$2 * B29</f>
        <v>65.857773809882303</v>
      </c>
      <c r="D29">
        <f ca="1" xml:space="preserve"> $G$2 /B29</f>
        <v>17863.807416745061</v>
      </c>
      <c r="E29">
        <f ca="1">SUM(C29:C32)</f>
        <v>302.34192263835507</v>
      </c>
      <c r="F29">
        <f ca="1">$G$2/E29</f>
        <v>33.075135306199186</v>
      </c>
      <c r="H29">
        <f t="shared" si="1"/>
        <v>28</v>
      </c>
    </row>
    <row r="30" spans="1:8" x14ac:dyDescent="0.35">
      <c r="A30">
        <v>2</v>
      </c>
      <c r="B30">
        <f ca="1">0.7 + ((RAND() + $H26/10000) - 0.5) * 2 * 0.3</f>
        <v>0.87628568114572347</v>
      </c>
      <c r="C30">
        <f ca="1">$E$2 * B30</f>
        <v>103.09243307596746</v>
      </c>
      <c r="D30">
        <f ca="1" xml:space="preserve"> $G$2 /B30</f>
        <v>11411.803496463881</v>
      </c>
      <c r="H30">
        <f t="shared" si="1"/>
        <v>29</v>
      </c>
    </row>
    <row r="31" spans="1:8" x14ac:dyDescent="0.35">
      <c r="A31">
        <v>3</v>
      </c>
      <c r="B31">
        <f ca="1">0.7 + ((RAND() + $H26/10000) - 0.5) * 2 * 0.3</f>
        <v>0.4536852814864859</v>
      </c>
      <c r="C31">
        <f ca="1">$E$2 * B31</f>
        <v>53.374738998410102</v>
      </c>
      <c r="D31">
        <f ca="1" xml:space="preserve"> $G$2 /B31</f>
        <v>22041.711309732833</v>
      </c>
      <c r="H31">
        <f t="shared" si="1"/>
        <v>30</v>
      </c>
    </row>
    <row r="32" spans="1:8" x14ac:dyDescent="0.35">
      <c r="A32">
        <v>4</v>
      </c>
      <c r="B32">
        <f ca="1">0.7 + ((RAND() + $H26/10000) - 0.5) * 2 * 0.3</f>
        <v>0.68014430240980972</v>
      </c>
      <c r="C32">
        <f ca="1">$E$2 * B32</f>
        <v>80.016976754095253</v>
      </c>
      <c r="D32">
        <f ca="1" xml:space="preserve"> $G$2 /B32</f>
        <v>14702.76228819258</v>
      </c>
      <c r="H32">
        <f t="shared" si="1"/>
        <v>31</v>
      </c>
    </row>
    <row r="33" spans="8:8" x14ac:dyDescent="0.35">
      <c r="H33">
        <f t="shared" si="1"/>
        <v>32</v>
      </c>
    </row>
    <row r="34" spans="8:8" x14ac:dyDescent="0.35">
      <c r="H34">
        <f t="shared" si="1"/>
        <v>33</v>
      </c>
    </row>
    <row r="35" spans="8:8" x14ac:dyDescent="0.35">
      <c r="H35">
        <f t="shared" si="1"/>
        <v>34</v>
      </c>
    </row>
    <row r="36" spans="8:8" x14ac:dyDescent="0.35">
      <c r="H36">
        <f t="shared" si="1"/>
        <v>35</v>
      </c>
    </row>
    <row r="37" spans="8:8" x14ac:dyDescent="0.35">
      <c r="H37">
        <f t="shared" si="1"/>
        <v>36</v>
      </c>
    </row>
    <row r="38" spans="8:8" x14ac:dyDescent="0.35">
      <c r="H38">
        <f t="shared" si="1"/>
        <v>37</v>
      </c>
    </row>
    <row r="39" spans="8:8" x14ac:dyDescent="0.35">
      <c r="H39">
        <f t="shared" si="1"/>
        <v>38</v>
      </c>
    </row>
    <row r="40" spans="8:8" x14ac:dyDescent="0.35">
      <c r="H40">
        <f t="shared" si="1"/>
        <v>39</v>
      </c>
    </row>
    <row r="41" spans="8:8" x14ac:dyDescent="0.35">
      <c r="H41">
        <f t="shared" si="1"/>
        <v>40</v>
      </c>
    </row>
    <row r="42" spans="8:8" x14ac:dyDescent="0.35">
      <c r="H42">
        <f t="shared" si="1"/>
        <v>41</v>
      </c>
    </row>
    <row r="43" spans="8:8" x14ac:dyDescent="0.35">
      <c r="H43">
        <f t="shared" si="1"/>
        <v>42</v>
      </c>
    </row>
    <row r="44" spans="8:8" x14ac:dyDescent="0.35">
      <c r="H44">
        <f t="shared" si="1"/>
        <v>43</v>
      </c>
    </row>
    <row r="45" spans="8:8" x14ac:dyDescent="0.35">
      <c r="H45">
        <f t="shared" si="1"/>
        <v>44</v>
      </c>
    </row>
    <row r="46" spans="8:8" x14ac:dyDescent="0.35">
      <c r="H46">
        <f t="shared" si="1"/>
        <v>45</v>
      </c>
    </row>
    <row r="47" spans="8:8" x14ac:dyDescent="0.35">
      <c r="H47">
        <f t="shared" si="1"/>
        <v>46</v>
      </c>
    </row>
    <row r="48" spans="8:8" x14ac:dyDescent="0.35">
      <c r="H48">
        <f t="shared" si="1"/>
        <v>47</v>
      </c>
    </row>
    <row r="49" spans="8:8" x14ac:dyDescent="0.35">
      <c r="H49">
        <f t="shared" si="1"/>
        <v>48</v>
      </c>
    </row>
    <row r="50" spans="8:8" x14ac:dyDescent="0.35">
      <c r="H50">
        <f t="shared" si="1"/>
        <v>49</v>
      </c>
    </row>
    <row r="51" spans="8:8" x14ac:dyDescent="0.35">
      <c r="H51">
        <f t="shared" si="1"/>
        <v>50</v>
      </c>
    </row>
    <row r="52" spans="8:8" x14ac:dyDescent="0.35">
      <c r="H52">
        <f t="shared" si="1"/>
        <v>51</v>
      </c>
    </row>
    <row r="53" spans="8:8" x14ac:dyDescent="0.35">
      <c r="H53">
        <f t="shared" si="1"/>
        <v>52</v>
      </c>
    </row>
    <row r="54" spans="8:8" x14ac:dyDescent="0.35">
      <c r="H54">
        <f t="shared" si="1"/>
        <v>53</v>
      </c>
    </row>
    <row r="55" spans="8:8" x14ac:dyDescent="0.35">
      <c r="H55">
        <f t="shared" si="1"/>
        <v>54</v>
      </c>
    </row>
    <row r="56" spans="8:8" x14ac:dyDescent="0.35">
      <c r="H56">
        <f t="shared" si="1"/>
        <v>55</v>
      </c>
    </row>
    <row r="57" spans="8:8" x14ac:dyDescent="0.35">
      <c r="H57">
        <f t="shared" si="1"/>
        <v>56</v>
      </c>
    </row>
    <row r="58" spans="8:8" x14ac:dyDescent="0.35">
      <c r="H58">
        <f t="shared" si="1"/>
        <v>57</v>
      </c>
    </row>
    <row r="59" spans="8:8" x14ac:dyDescent="0.35">
      <c r="H59">
        <f t="shared" si="1"/>
        <v>58</v>
      </c>
    </row>
    <row r="60" spans="8:8" x14ac:dyDescent="0.35">
      <c r="H60">
        <f t="shared" si="1"/>
        <v>59</v>
      </c>
    </row>
    <row r="61" spans="8:8" x14ac:dyDescent="0.35">
      <c r="H61">
        <f t="shared" si="1"/>
        <v>60</v>
      </c>
    </row>
    <row r="62" spans="8:8" x14ac:dyDescent="0.35">
      <c r="H62">
        <f t="shared" si="1"/>
        <v>61</v>
      </c>
    </row>
    <row r="63" spans="8:8" x14ac:dyDescent="0.35">
      <c r="H63">
        <f t="shared" si="1"/>
        <v>62</v>
      </c>
    </row>
    <row r="64" spans="8:8" x14ac:dyDescent="0.35">
      <c r="H64">
        <f t="shared" si="1"/>
        <v>63</v>
      </c>
    </row>
    <row r="65" spans="8:8" x14ac:dyDescent="0.35">
      <c r="H65">
        <f t="shared" si="1"/>
        <v>64</v>
      </c>
    </row>
    <row r="66" spans="8:8" x14ac:dyDescent="0.35">
      <c r="H66">
        <f t="shared" si="1"/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FBAA-C802-44C5-BA42-E1D16E25DBCA}">
  <dimension ref="A1:H10"/>
  <sheetViews>
    <sheetView workbookViewId="0">
      <selection activeCell="F10" sqref="F10"/>
    </sheetView>
  </sheetViews>
  <sheetFormatPr defaultRowHeight="14.5" x14ac:dyDescent="0.35"/>
  <cols>
    <col min="1" max="1" width="11.36328125" customWidth="1"/>
    <col min="2" max="2" width="13.08984375" customWidth="1"/>
    <col min="3" max="3" width="10.7265625" customWidth="1"/>
    <col min="4" max="4" width="16.26953125" customWidth="1"/>
    <col min="5" max="5" width="13.36328125" customWidth="1"/>
    <col min="6" max="6" width="12.453125" customWidth="1"/>
    <col min="7" max="7" width="12.90625" customWidth="1"/>
    <col min="8" max="8" width="4.6328125" customWidth="1"/>
  </cols>
  <sheetData>
    <row r="1" spans="1:8" x14ac:dyDescent="0.35">
      <c r="A1" t="s">
        <v>18</v>
      </c>
      <c r="B1" t="s">
        <v>19</v>
      </c>
      <c r="C1" t="s">
        <v>20</v>
      </c>
      <c r="D1" t="s">
        <v>21</v>
      </c>
      <c r="F1" t="s">
        <v>22</v>
      </c>
      <c r="G1" t="s">
        <v>23</v>
      </c>
      <c r="H1" t="s">
        <v>10</v>
      </c>
    </row>
    <row r="2" spans="1:8" x14ac:dyDescent="0.35">
      <c r="A2">
        <v>300</v>
      </c>
      <c r="B2">
        <v>0.7</v>
      </c>
      <c r="C2">
        <v>7000</v>
      </c>
      <c r="D2">
        <v>0.3</v>
      </c>
      <c r="G2" t="e" cm="1">
        <f t="array" ref="G2">INDEX(E12:E300, MATCH(TRUE, D12:D300 &gt;= $C$2, 0))</f>
        <v>#N/A</v>
      </c>
      <c r="H2">
        <f>ROW()</f>
        <v>2</v>
      </c>
    </row>
    <row r="3" spans="1:8" x14ac:dyDescent="0.35">
      <c r="A3" t="s">
        <v>31</v>
      </c>
    </row>
    <row r="4" spans="1:8" x14ac:dyDescent="0.35">
      <c r="A4" t="s">
        <v>24</v>
      </c>
      <c r="B4" t="s">
        <v>25</v>
      </c>
      <c r="C4" t="s">
        <v>26</v>
      </c>
      <c r="D4" t="s">
        <v>27</v>
      </c>
    </row>
    <row r="5" spans="1:8" x14ac:dyDescent="0.35">
      <c r="A5" t="s">
        <v>28</v>
      </c>
      <c r="B5">
        <v>0.6</v>
      </c>
      <c r="C5">
        <v>150</v>
      </c>
      <c r="D5">
        <v>50</v>
      </c>
    </row>
    <row r="6" spans="1:8" x14ac:dyDescent="0.35">
      <c r="A6" t="s">
        <v>29</v>
      </c>
      <c r="B6">
        <v>0.3</v>
      </c>
      <c r="C6">
        <v>500</v>
      </c>
      <c r="D6">
        <v>150</v>
      </c>
    </row>
    <row r="7" spans="1:8" x14ac:dyDescent="0.35">
      <c r="A7" t="s">
        <v>30</v>
      </c>
      <c r="B7">
        <v>0.1</v>
      </c>
      <c r="C7">
        <v>1000</v>
      </c>
      <c r="D7">
        <v>500</v>
      </c>
    </row>
    <row r="9" spans="1:8" x14ac:dyDescent="0.35">
      <c r="A9" t="s">
        <v>32</v>
      </c>
      <c r="B9" t="s">
        <v>26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</row>
    <row r="10" spans="1:8" x14ac:dyDescent="0.35">
      <c r="A10" t="str">
        <f ca="1">IF(RAND() + ROW()/100000&lt;$B$5,"Small",IF(RAND() + ROW()/100000&lt;$B$6+$B$7,"Medium","Large"))</f>
        <v>Small</v>
      </c>
      <c r="B10">
        <f ca="1">IF(A10="Small",$C$5,IF(A10="Medium",$C$6,$C$7))</f>
        <v>150</v>
      </c>
      <c r="C10">
        <f ca="1">IF(A10="Small",$D$5,IF(A10="Medium",$D$6,$D$7))</f>
        <v>50</v>
      </c>
      <c r="D10">
        <f ca="1">$B$2 * (1 - $D$2/2 + RAND() + ROW()/100000*$D$2)</f>
        <v>1.193191023985948</v>
      </c>
      <c r="E10">
        <f ca="1">B10 / ($A$2 * D10)</f>
        <v>0.41904438597745303</v>
      </c>
      <c r="F10">
        <f ca="1">C10</f>
        <v>50</v>
      </c>
      <c r="G10">
        <f ca="1">E10</f>
        <v>0.41904438597745303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796C-25A0-49EB-8BBF-684F3BC104F2}">
  <dimension ref="A1:F2"/>
  <sheetViews>
    <sheetView workbookViewId="0">
      <selection activeCell="D2" sqref="D2"/>
    </sheetView>
  </sheetViews>
  <sheetFormatPr defaultRowHeight="14.5" x14ac:dyDescent="0.35"/>
  <cols>
    <col min="1" max="1" width="8.08984375" customWidth="1"/>
    <col min="2" max="2" width="10.36328125" customWidth="1"/>
    <col min="3" max="3" width="12.54296875" customWidth="1"/>
    <col min="4" max="4" width="10.26953125" customWidth="1"/>
    <col min="5" max="5" width="16.08984375" customWidth="1"/>
    <col min="6" max="6" width="14.81640625" customWidth="1"/>
    <col min="7" max="7" width="9.6328125" customWidth="1"/>
    <col min="8" max="8" width="11.453125" customWidth="1"/>
    <col min="9" max="9" width="10.26953125" customWidth="1"/>
    <col min="10" max="10" width="9.36328125" customWidth="1"/>
    <col min="12" max="12" width="16.36328125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F1" t="s">
        <v>17</v>
      </c>
    </row>
    <row r="2" spans="1:6" x14ac:dyDescent="0.35">
      <c r="B2">
        <f ca="1">OFFSET(HunterDPS!F5, (A2-1)*4, 0)</f>
        <v>0</v>
      </c>
      <c r="D2" t="e" cm="1">
        <f t="array" ref="D2">IF(HunterTime &lt; KaijuTime, "Hunters", "Kaiju")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HunterDPS</vt:lpstr>
      <vt:lpstr>KaijuSim</vt:lpstr>
      <vt:lpstr>MatchResults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Michael Anthony</dc:creator>
  <cp:lastModifiedBy>Cabrera, Michael Anthony</cp:lastModifiedBy>
  <dcterms:created xsi:type="dcterms:W3CDTF">2026-03-26T19:38:20Z</dcterms:created>
  <dcterms:modified xsi:type="dcterms:W3CDTF">2026-03-26T23:01:18Z</dcterms:modified>
</cp:coreProperties>
</file>